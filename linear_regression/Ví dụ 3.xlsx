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ÀI LIỆU HỌC TẬP\HỌC MÁY (MACHINE LEARNING) TRONG PHÂN TÍCH KINH DOANH (Thầy Trần Duy Thanh)\ML_K23416\linear_regression\"/>
    </mc:Choice>
  </mc:AlternateContent>
  <bookViews>
    <workbookView xWindow="0" yWindow="0" windowWidth="20490" windowHeight="7155"/>
  </bookViews>
  <sheets>
    <sheet name="Bonus" sheetId="7" r:id="rId1"/>
    <sheet name="VD3" sheetId="3" r:id="rId2"/>
    <sheet name="VD2" sheetId="2" r:id="rId3"/>
    <sheet name="VD1" sheetId="1" r:id="rId4"/>
    <sheet name="BT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V18" i="7" s="1"/>
  <c r="U19" i="7"/>
  <c r="U20" i="7"/>
  <c r="U21" i="7"/>
  <c r="U2" i="7"/>
  <c r="V2" i="7" s="1"/>
  <c r="R13" i="7" a="1"/>
  <c r="R14" i="7" s="1"/>
  <c r="O13" i="7" a="1"/>
  <c r="O14" i="7" s="1"/>
  <c r="O7" i="7" a="1"/>
  <c r="O7" i="7" s="1"/>
  <c r="O1" i="7" a="1"/>
  <c r="O1" i="7" s="1"/>
  <c r="V21" i="7"/>
  <c r="V20" i="7"/>
  <c r="V19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R17" i="7" l="1"/>
  <c r="R13" i="7"/>
  <c r="R16" i="7"/>
  <c r="R15" i="7"/>
  <c r="O17" i="7"/>
  <c r="O13" i="7"/>
  <c r="O16" i="7"/>
  <c r="O15" i="7"/>
  <c r="S11" i="7"/>
  <c r="O11" i="7"/>
  <c r="P10" i="7"/>
  <c r="Q9" i="7"/>
  <c r="R8" i="7"/>
  <c r="S7" i="7"/>
  <c r="R11" i="7"/>
  <c r="S10" i="7"/>
  <c r="O10" i="7"/>
  <c r="P9" i="7"/>
  <c r="Q8" i="7"/>
  <c r="R7" i="7"/>
  <c r="Q11" i="7"/>
  <c r="R10" i="7"/>
  <c r="S9" i="7"/>
  <c r="O9" i="7"/>
  <c r="P8" i="7"/>
  <c r="Q7" i="7"/>
  <c r="P11" i="7"/>
  <c r="Q10" i="7"/>
  <c r="R9" i="7"/>
  <c r="S8" i="7"/>
  <c r="O8" i="7"/>
  <c r="P7" i="7"/>
  <c r="S5" i="7"/>
  <c r="O5" i="7"/>
  <c r="P4" i="7"/>
  <c r="Q3" i="7"/>
  <c r="R2" i="7"/>
  <c r="S1" i="7"/>
  <c r="R5" i="7"/>
  <c r="S4" i="7"/>
  <c r="O4" i="7"/>
  <c r="P3" i="7"/>
  <c r="Q2" i="7"/>
  <c r="R1" i="7"/>
  <c r="Q5" i="7"/>
  <c r="R4" i="7"/>
  <c r="S3" i="7"/>
  <c r="O3" i="7"/>
  <c r="P2" i="7"/>
  <c r="Q1" i="7"/>
  <c r="P5" i="7"/>
  <c r="Q4" i="7"/>
  <c r="R3" i="7"/>
  <c r="S2" i="7"/>
  <c r="O2" i="7"/>
  <c r="P1" i="7"/>
  <c r="V22" i="7"/>
  <c r="V23" i="7" s="1"/>
  <c r="S23" i="6" l="1"/>
  <c r="S22" i="6"/>
  <c r="S13" i="6"/>
  <c r="S14" i="6"/>
  <c r="S15" i="6"/>
  <c r="S16" i="6"/>
  <c r="S17" i="6"/>
  <c r="S18" i="6"/>
  <c r="S19" i="6"/>
  <c r="S20" i="6"/>
  <c r="S21" i="6"/>
  <c r="R13" i="6"/>
  <c r="R14" i="6"/>
  <c r="R15" i="6"/>
  <c r="R16" i="6"/>
  <c r="R17" i="6"/>
  <c r="R18" i="6"/>
  <c r="R19" i="6"/>
  <c r="R20" i="6"/>
  <c r="R21" i="6"/>
  <c r="R3" i="6" l="1"/>
  <c r="R4" i="6"/>
  <c r="R5" i="6"/>
  <c r="R6" i="6"/>
  <c r="R7" i="6"/>
  <c r="R8" i="6"/>
  <c r="R9" i="6"/>
  <c r="R10" i="6"/>
  <c r="R11" i="6"/>
  <c r="R12" i="6"/>
  <c r="R2" i="6"/>
  <c r="P11" i="6" a="1"/>
  <c r="P11" i="6" s="1"/>
  <c r="M11" i="6" a="1"/>
  <c r="M11" i="6" s="1"/>
  <c r="M6" i="6" a="1"/>
  <c r="M6" i="6" s="1"/>
  <c r="M1" i="6" a="1"/>
  <c r="P1" i="6" s="1"/>
  <c r="Q14" i="3"/>
  <c r="Q13" i="3"/>
  <c r="Q3" i="3"/>
  <c r="Q4" i="3"/>
  <c r="Q5" i="3"/>
  <c r="Q6" i="3"/>
  <c r="Q7" i="3"/>
  <c r="Q8" i="3"/>
  <c r="Q9" i="3"/>
  <c r="Q10" i="3"/>
  <c r="Q11" i="3"/>
  <c r="Q12" i="3"/>
  <c r="Q2" i="3"/>
  <c r="P3" i="3"/>
  <c r="P4" i="3"/>
  <c r="P5" i="3"/>
  <c r="P6" i="3"/>
  <c r="P7" i="3"/>
  <c r="P8" i="3"/>
  <c r="P9" i="3"/>
  <c r="P10" i="3"/>
  <c r="P11" i="3"/>
  <c r="P12" i="3"/>
  <c r="P2" i="3"/>
  <c r="N9" i="3" a="1"/>
  <c r="N10" i="3" s="1"/>
  <c r="K9" i="3" a="1"/>
  <c r="K10" i="3" s="1"/>
  <c r="K5" i="3" a="1"/>
  <c r="L5" i="3" s="1"/>
  <c r="K1" i="3" a="1"/>
  <c r="K1" i="3" s="1"/>
  <c r="P13" i="6" l="1"/>
  <c r="P12" i="6"/>
  <c r="P14" i="6"/>
  <c r="M14" i="6"/>
  <c r="M13" i="6"/>
  <c r="M12" i="6"/>
  <c r="P9" i="6"/>
  <c r="P8" i="6"/>
  <c r="P7" i="6"/>
  <c r="P6" i="6"/>
  <c r="O9" i="6"/>
  <c r="O8" i="6"/>
  <c r="O7" i="6"/>
  <c r="O6" i="6"/>
  <c r="N9" i="6"/>
  <c r="N8" i="6"/>
  <c r="N7" i="6"/>
  <c r="N6" i="6"/>
  <c r="M9" i="6"/>
  <c r="M8" i="6"/>
  <c r="M7" i="6"/>
  <c r="O4" i="6"/>
  <c r="O3" i="6"/>
  <c r="O2" i="6"/>
  <c r="O1" i="6"/>
  <c r="N4" i="6"/>
  <c r="N3" i="6"/>
  <c r="N2" i="6"/>
  <c r="N1" i="6"/>
  <c r="M4" i="6"/>
  <c r="M3" i="6"/>
  <c r="M2" i="6"/>
  <c r="M1" i="6"/>
  <c r="P4" i="6"/>
  <c r="P3" i="6"/>
  <c r="P2" i="6"/>
  <c r="N9" i="3"/>
  <c r="N11" i="3"/>
  <c r="K9" i="3"/>
  <c r="K11" i="3"/>
  <c r="M7" i="3"/>
  <c r="L6" i="3"/>
  <c r="K5" i="3"/>
  <c r="L7" i="3"/>
  <c r="K6" i="3"/>
  <c r="K7" i="3"/>
  <c r="M5" i="3"/>
  <c r="M6" i="3"/>
  <c r="M1" i="3"/>
  <c r="K2" i="3"/>
  <c r="K3" i="3"/>
  <c r="M2" i="3"/>
  <c r="L1" i="3"/>
  <c r="L3" i="3"/>
  <c r="M3" i="3"/>
  <c r="L2" i="3"/>
  <c r="E7" i="2"/>
  <c r="E6" i="2"/>
  <c r="E5" i="2"/>
  <c r="E4" i="2"/>
  <c r="E3" i="2"/>
  <c r="E2" i="2"/>
  <c r="E1" i="2"/>
  <c r="C3" i="1"/>
  <c r="C4" i="1"/>
  <c r="C5" i="1"/>
  <c r="C6" i="1"/>
  <c r="C7" i="1"/>
  <c r="C8" i="1"/>
  <c r="C9" i="1"/>
  <c r="C10" i="1"/>
  <c r="C11" i="1"/>
  <c r="C2" i="1"/>
  <c r="E2" i="1" l="1"/>
  <c r="E1" i="1"/>
  <c r="E5" i="1"/>
  <c r="E4" i="1"/>
  <c r="E3" i="1"/>
  <c r="C10" i="2" l="1"/>
  <c r="C14" i="2"/>
  <c r="C13" i="2"/>
  <c r="C12" i="2"/>
  <c r="C6" i="2"/>
  <c r="C4" i="2"/>
  <c r="C7" i="2"/>
  <c r="C5" i="2"/>
  <c r="C9" i="2"/>
  <c r="C2" i="2"/>
  <c r="C11" i="2"/>
  <c r="C8" i="2"/>
  <c r="C3" i="2"/>
  <c r="E6" i="1"/>
  <c r="E7" i="1" s="1"/>
  <c r="S11" i="6" l="1"/>
  <c r="S9" i="6"/>
  <c r="S7" i="6"/>
  <c r="S4" i="6"/>
  <c r="S2" i="6"/>
  <c r="S8" i="6"/>
  <c r="S6" i="6"/>
  <c r="S5" i="6"/>
  <c r="S3" i="6"/>
  <c r="S12" i="6"/>
  <c r="S10" i="6"/>
</calcChain>
</file>

<file path=xl/sharedStrings.xml><?xml version="1.0" encoding="utf-8"?>
<sst xmlns="http://schemas.openxmlformats.org/spreadsheetml/2006/main" count="71" uniqueCount="26">
  <si>
    <t>x</t>
  </si>
  <si>
    <t>y</t>
  </si>
  <si>
    <t>Độ lệch chuẩn x</t>
  </si>
  <si>
    <t>Độ lệch chuẩn y</t>
  </si>
  <si>
    <t>Trung bình x</t>
  </si>
  <si>
    <t>Trung bình y</t>
  </si>
  <si>
    <t>Tương quan x và y</t>
  </si>
  <si>
    <t>B1 =</t>
  </si>
  <si>
    <t xml:space="preserve">B0 = </t>
  </si>
  <si>
    <t>y-predicted</t>
  </si>
  <si>
    <t>color</t>
  </si>
  <si>
    <t>quality</t>
  </si>
  <si>
    <t>price</t>
  </si>
  <si>
    <t>x0</t>
  </si>
  <si>
    <t>(X'X) =</t>
  </si>
  <si>
    <t>(X'X)_inv =</t>
  </si>
  <si>
    <t>(X'Y) =</t>
  </si>
  <si>
    <t>B_hat =</t>
  </si>
  <si>
    <t>Predicted Price</t>
  </si>
  <si>
    <t>Squared Error</t>
  </si>
  <si>
    <t>MSE =</t>
  </si>
  <si>
    <t>RMSE =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</si>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</sst>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Bonus!$L$1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Bonus!$L$2:$L$21</c:f>
              <c:numCache>
                <c:formatCode>General</c:formatCode>
                <c:ptCount val="20"/>
                <c:pt idx="0">
                  <c:v>0.04</c:v>
                </c:pt>
                <c:pt idx="1">
                  <c:v>2.0699999999999998</c:v>
                </c:pt>
                <c:pt idx="2">
                  <c:v>4.18</c:v>
                </c:pt>
                <c:pt idx="3">
                  <c:v>4.63</c:v>
                </c:pt>
                <c:pt idx="4">
                  <c:v>6.57</c:v>
                </c:pt>
                <c:pt idx="5">
                  <c:v>6.91</c:v>
                </c:pt>
                <c:pt idx="6">
                  <c:v>9.23</c:v>
                </c:pt>
                <c:pt idx="7">
                  <c:v>11.4</c:v>
                </c:pt>
                <c:pt idx="8">
                  <c:v>12.04</c:v>
                </c:pt>
                <c:pt idx="9">
                  <c:v>16.75</c:v>
                </c:pt>
                <c:pt idx="10">
                  <c:v>24.55</c:v>
                </c:pt>
                <c:pt idx="11">
                  <c:v>27.64</c:v>
                </c:pt>
                <c:pt idx="12">
                  <c:v>29.64</c:v>
                </c:pt>
                <c:pt idx="13">
                  <c:v>32.9</c:v>
                </c:pt>
                <c:pt idx="14">
                  <c:v>33.520000000000003</c:v>
                </c:pt>
                <c:pt idx="15">
                  <c:v>33.75</c:v>
                </c:pt>
                <c:pt idx="16">
                  <c:v>42.89</c:v>
                </c:pt>
                <c:pt idx="17">
                  <c:v>48.87</c:v>
                </c:pt>
                <c:pt idx="18">
                  <c:v>58.45</c:v>
                </c:pt>
                <c:pt idx="19">
                  <c:v>61.69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Bonus!$U$1</c:f>
              <c:strCache>
                <c:ptCount val="1"/>
                <c:pt idx="0">
                  <c:v>Predicted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Bonus!$U$2:$U$21</c:f>
              <c:numCache>
                <c:formatCode>General</c:formatCode>
                <c:ptCount val="20"/>
                <c:pt idx="0">
                  <c:v>-2.9873653592703917</c:v>
                </c:pt>
                <c:pt idx="1">
                  <c:v>2.2190383499989954</c:v>
                </c:pt>
                <c:pt idx="2">
                  <c:v>5.0509863555099717</c:v>
                </c:pt>
                <c:pt idx="3">
                  <c:v>3.0460183749668479</c:v>
                </c:pt>
                <c:pt idx="4">
                  <c:v>5.9714004461542274</c:v>
                </c:pt>
                <c:pt idx="5">
                  <c:v>5.4794413715597639</c:v>
                </c:pt>
                <c:pt idx="6">
                  <c:v>9.0425435495602287</c:v>
                </c:pt>
                <c:pt idx="7">
                  <c:v>12.213763941518863</c:v>
                </c:pt>
                <c:pt idx="8">
                  <c:v>12.58154827798251</c:v>
                </c:pt>
                <c:pt idx="9">
                  <c:v>17.098462726583833</c:v>
                </c:pt>
                <c:pt idx="10">
                  <c:v>28.452671507716108</c:v>
                </c:pt>
                <c:pt idx="11">
                  <c:v>30.437149817828164</c:v>
                </c:pt>
                <c:pt idx="12">
                  <c:v>28.872762605887885</c:v>
                </c:pt>
                <c:pt idx="13">
                  <c:v>34.687532957624349</c:v>
                </c:pt>
                <c:pt idx="14">
                  <c:v>34.501474834117069</c:v>
                </c:pt>
                <c:pt idx="15">
                  <c:v>34.562469335144868</c:v>
                </c:pt>
                <c:pt idx="16">
                  <c:v>43.405667549512252</c:v>
                </c:pt>
                <c:pt idx="17">
                  <c:v>48.725261946269441</c:v>
                </c:pt>
                <c:pt idx="18">
                  <c:v>56.387018260658849</c:v>
                </c:pt>
                <c:pt idx="19">
                  <c:v>57.972153150676007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029824"/>
        <c:axId val="1801035808"/>
      </c:lineChart>
      <c:catAx>
        <c:axId val="1801029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35808"/>
        <c:crosses val="autoZero"/>
        <c:auto val="1"/>
        <c:lblAlgn val="ctr"/>
        <c:lblOffset val="100"/>
        <c:noMultiLvlLbl val="0"/>
      </c:catAx>
      <c:valAx>
        <c:axId val="18010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'VD2'!$B$2:$B$14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'VD2'!$C$1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'VD2'!$C$2:$C$14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035616"/>
        <c:axId val="1797039968"/>
      </c:lineChart>
      <c:catAx>
        <c:axId val="179703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039968"/>
        <c:crosses val="autoZero"/>
        <c:auto val="1"/>
        <c:lblAlgn val="ctr"/>
        <c:lblOffset val="100"/>
        <c:noMultiLvlLbl val="0"/>
      </c:catAx>
      <c:valAx>
        <c:axId val="17970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03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'VD1'!$B$2:$B$11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'VD1'!$C$1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'VD1'!$C$2:$C$11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049216"/>
        <c:axId val="1797043776"/>
      </c:lineChart>
      <c:catAx>
        <c:axId val="179704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043776"/>
        <c:crosses val="autoZero"/>
        <c:auto val="1"/>
        <c:lblAlgn val="ctr"/>
        <c:lblOffset val="100"/>
        <c:noMultiLvlLbl val="0"/>
      </c:catAx>
      <c:valAx>
        <c:axId val="17970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04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BT!$J$1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BT!$J$2:$J$21</c:f>
              <c:numCache>
                <c:formatCode>General</c:formatCode>
                <c:ptCount val="20"/>
                <c:pt idx="0">
                  <c:v>33.520000000000003</c:v>
                </c:pt>
                <c:pt idx="1">
                  <c:v>42.89</c:v>
                </c:pt>
                <c:pt idx="2">
                  <c:v>12.04</c:v>
                </c:pt>
                <c:pt idx="3">
                  <c:v>6.91</c:v>
                </c:pt>
                <c:pt idx="4">
                  <c:v>6.57</c:v>
                </c:pt>
                <c:pt idx="5">
                  <c:v>2.0699999999999998</c:v>
                </c:pt>
                <c:pt idx="6">
                  <c:v>4.18</c:v>
                </c:pt>
                <c:pt idx="7">
                  <c:v>58.45</c:v>
                </c:pt>
                <c:pt idx="8">
                  <c:v>29.64</c:v>
                </c:pt>
                <c:pt idx="9">
                  <c:v>48.87</c:v>
                </c:pt>
                <c:pt idx="10">
                  <c:v>33.75</c:v>
                </c:pt>
                <c:pt idx="11">
                  <c:v>0.04</c:v>
                </c:pt>
                <c:pt idx="12">
                  <c:v>16.75</c:v>
                </c:pt>
                <c:pt idx="13">
                  <c:v>4.63</c:v>
                </c:pt>
                <c:pt idx="14">
                  <c:v>61.69</c:v>
                </c:pt>
                <c:pt idx="15">
                  <c:v>24.55</c:v>
                </c:pt>
                <c:pt idx="16">
                  <c:v>32.9</c:v>
                </c:pt>
                <c:pt idx="17">
                  <c:v>9.23</c:v>
                </c:pt>
                <c:pt idx="18">
                  <c:v>11.4</c:v>
                </c:pt>
                <c:pt idx="19">
                  <c:v>27.64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BT!$R$1</c:f>
              <c:strCache>
                <c:ptCount val="1"/>
                <c:pt idx="0">
                  <c:v>Predicted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BT!$R$2:$R$21</c:f>
              <c:numCache>
                <c:formatCode>General</c:formatCode>
                <c:ptCount val="20"/>
                <c:pt idx="0">
                  <c:v>35.128368193795353</c:v>
                </c:pt>
                <c:pt idx="1">
                  <c:v>26.623780513896161</c:v>
                </c:pt>
                <c:pt idx="2">
                  <c:v>19.383050772711986</c:v>
                </c:pt>
                <c:pt idx="3">
                  <c:v>18.424979688737992</c:v>
                </c:pt>
                <c:pt idx="4">
                  <c:v>28.765037999149943</c:v>
                </c:pt>
                <c:pt idx="5">
                  <c:v>14.073769025806541</c:v>
                </c:pt>
                <c:pt idx="6">
                  <c:v>18.053081476286145</c:v>
                </c:pt>
                <c:pt idx="7">
                  <c:v>22.263443002407584</c:v>
                </c:pt>
                <c:pt idx="8">
                  <c:v>16.660205844107288</c:v>
                </c:pt>
                <c:pt idx="9">
                  <c:v>19.373960597828784</c:v>
                </c:pt>
                <c:pt idx="10">
                  <c:v>36.339010132621425</c:v>
                </c:pt>
                <c:pt idx="11">
                  <c:v>24.20946922474123</c:v>
                </c:pt>
                <c:pt idx="12">
                  <c:v>11.472979071604737</c:v>
                </c:pt>
                <c:pt idx="13">
                  <c:v>19.204643866027389</c:v>
                </c:pt>
                <c:pt idx="14">
                  <c:v>32.373071249350176</c:v>
                </c:pt>
                <c:pt idx="15">
                  <c:v>25.920546397238581</c:v>
                </c:pt>
                <c:pt idx="16">
                  <c:v>31.956984796558942</c:v>
                </c:pt>
                <c:pt idx="17">
                  <c:v>26.205948303490231</c:v>
                </c:pt>
                <c:pt idx="18">
                  <c:v>25.080830309935827</c:v>
                </c:pt>
                <c:pt idx="19">
                  <c:v>16.206839533702947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026016"/>
        <c:axId val="1801028736"/>
      </c:lineChart>
      <c:catAx>
        <c:axId val="180102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8736"/>
        <c:crosses val="autoZero"/>
        <c:auto val="1"/>
        <c:lblAlgn val="ctr"/>
        <c:lblOffset val="100"/>
        <c:noMultiLvlLbl val="0"/>
      </c:catAx>
      <c:valAx>
        <c:axId val="18010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17</xdr:row>
      <xdr:rowOff>185737</xdr:rowOff>
    </xdr:from>
    <xdr:to>
      <xdr:col>18</xdr:col>
      <xdr:colOff>542925</xdr:colOff>
      <xdr:row>32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504265</xdr:colOff>
      <xdr:row>19</xdr:row>
      <xdr:rowOff>146797</xdr:rowOff>
    </xdr:from>
    <xdr:to>
      <xdr:col>16</xdr:col>
      <xdr:colOff>437029</xdr:colOff>
      <xdr:row>34</xdr:row>
      <xdr:rowOff>32497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B1" zoomScale="85" zoomScaleNormal="85" workbookViewId="0">
      <selection activeCell="O11" sqref="O11"/>
    </sheetView>
  </sheetViews>
  <sheetFormatPr defaultRowHeight="15" x14ac:dyDescent="0.25"/>
  <cols>
    <col min="14" max="14" width="10.28515625" bestFit="1" customWidth="1"/>
    <col min="15" max="15" width="12.7109375" bestFit="1" customWidth="1"/>
    <col min="16" max="16" width="12" bestFit="1" customWidth="1"/>
    <col min="17" max="19" width="12.7109375" bestFit="1" customWidth="1"/>
    <col min="21" max="21" width="14.5703125" bestFit="1" customWidth="1"/>
    <col min="22" max="22" width="13.140625" bestFit="1" customWidth="1"/>
  </cols>
  <sheetData>
    <row r="1" spans="1:22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1</v>
      </c>
      <c r="G1" s="1" t="s">
        <v>13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</v>
      </c>
      <c r="N1" t="s">
        <v>14</v>
      </c>
      <c r="O1">
        <f t="array" ref="O1:S5">MMULT(TRANSPOSE(G2:L21), G2:L21)</f>
        <v>20</v>
      </c>
      <c r="P1">
        <v>50.839999999999996</v>
      </c>
      <c r="Q1">
        <v>435.64000000000004</v>
      </c>
      <c r="R1">
        <v>11.029999999999998</v>
      </c>
      <c r="S1">
        <v>282</v>
      </c>
      <c r="U1" t="s">
        <v>18</v>
      </c>
      <c r="V1" t="s">
        <v>19</v>
      </c>
    </row>
    <row r="2" spans="1:22" x14ac:dyDescent="0.25">
      <c r="A2" s="1">
        <v>2.93</v>
      </c>
      <c r="B2" s="1">
        <v>11.21</v>
      </c>
      <c r="C2" s="1">
        <v>0.53</v>
      </c>
      <c r="D2" s="1">
        <v>1</v>
      </c>
      <c r="E2" s="1">
        <v>0.04</v>
      </c>
      <c r="G2" s="1">
        <v>1</v>
      </c>
      <c r="H2" s="1">
        <v>2.93</v>
      </c>
      <c r="I2" s="1">
        <v>11.21</v>
      </c>
      <c r="J2" s="1">
        <v>0.53</v>
      </c>
      <c r="K2" s="1">
        <v>1</v>
      </c>
      <c r="L2" s="1">
        <v>0.04</v>
      </c>
      <c r="O2">
        <v>50.839999999999996</v>
      </c>
      <c r="P2">
        <v>228.66939999999994</v>
      </c>
      <c r="Q2">
        <v>991.42409999999995</v>
      </c>
      <c r="R2">
        <v>26.494300000000003</v>
      </c>
      <c r="S2">
        <v>653.90499999999997</v>
      </c>
      <c r="U2">
        <f xml:space="preserve"> $R$13 + $R$14 * H2 + $R$15 * I2 + $R$16 * J2 + $R$17 * K2</f>
        <v>-2.9873653592703917</v>
      </c>
      <c r="V2">
        <f xml:space="preserve"> POWER(L2 - U2, 2)</f>
        <v>9.1649410185103477</v>
      </c>
    </row>
    <row r="3" spans="1:22" x14ac:dyDescent="0.25">
      <c r="A3" s="1">
        <v>0.13</v>
      </c>
      <c r="B3" s="1">
        <v>63.46</v>
      </c>
      <c r="C3" s="1">
        <v>0.18</v>
      </c>
      <c r="D3" s="1">
        <v>2</v>
      </c>
      <c r="E3" s="1">
        <v>2.0699999999999998</v>
      </c>
      <c r="G3" s="1">
        <v>1</v>
      </c>
      <c r="H3" s="1">
        <v>0.13</v>
      </c>
      <c r="I3" s="1">
        <v>63.46</v>
      </c>
      <c r="J3" s="1">
        <v>0.18</v>
      </c>
      <c r="K3" s="1">
        <v>2</v>
      </c>
      <c r="L3" s="1">
        <v>2.0699999999999998</v>
      </c>
      <c r="O3">
        <v>435.64000000000004</v>
      </c>
      <c r="P3">
        <v>991.42409999999995</v>
      </c>
      <c r="Q3">
        <v>15643.789200000005</v>
      </c>
      <c r="R3">
        <v>222.99349999999998</v>
      </c>
      <c r="S3">
        <v>5454.42</v>
      </c>
      <c r="U3">
        <f t="shared" ref="U3:U21" si="0" xml:space="preserve"> $R$13 + $R$14 * H3 + $R$15 * I3 + $R$16 * J3 + $R$17 * K3</f>
        <v>2.2190383499989954</v>
      </c>
      <c r="V3">
        <f t="shared" ref="V3:V21" si="1" xml:space="preserve"> POWER(L3 - U3, 2)</f>
        <v>2.2212429770423103E-2</v>
      </c>
    </row>
    <row r="4" spans="1:22" x14ac:dyDescent="0.25">
      <c r="A4" s="1">
        <v>1</v>
      </c>
      <c r="B4" s="1">
        <v>48.25</v>
      </c>
      <c r="C4" s="1">
        <v>0.35</v>
      </c>
      <c r="D4" s="1">
        <v>4</v>
      </c>
      <c r="E4" s="1">
        <v>4.18</v>
      </c>
      <c r="G4" s="1">
        <v>1</v>
      </c>
      <c r="H4" s="1">
        <v>1</v>
      </c>
      <c r="I4" s="1">
        <v>48.25</v>
      </c>
      <c r="J4" s="1">
        <v>0.35</v>
      </c>
      <c r="K4" s="1">
        <v>4</v>
      </c>
      <c r="L4" s="1">
        <v>4.18</v>
      </c>
      <c r="O4">
        <v>11.029999999999998</v>
      </c>
      <c r="P4">
        <v>26.494300000000003</v>
      </c>
      <c r="Q4">
        <v>222.99349999999998</v>
      </c>
      <c r="R4">
        <v>7.5642999999999985</v>
      </c>
      <c r="S4">
        <v>172.33999999999997</v>
      </c>
      <c r="U4">
        <f t="shared" si="0"/>
        <v>5.0509863555099717</v>
      </c>
      <c r="V4">
        <f t="shared" si="1"/>
        <v>0.75861723148454319</v>
      </c>
    </row>
    <row r="5" spans="1:22" x14ac:dyDescent="0.25">
      <c r="A5" s="1">
        <v>3.93</v>
      </c>
      <c r="B5" s="1">
        <v>21.56</v>
      </c>
      <c r="C5" s="1">
        <v>0.43</v>
      </c>
      <c r="D5" s="1">
        <v>4</v>
      </c>
      <c r="E5" s="1">
        <v>4.63</v>
      </c>
      <c r="G5" s="1">
        <v>1</v>
      </c>
      <c r="H5" s="1">
        <v>3.93</v>
      </c>
      <c r="I5" s="1">
        <v>21.56</v>
      </c>
      <c r="J5" s="1">
        <v>0.43</v>
      </c>
      <c r="K5" s="1">
        <v>4</v>
      </c>
      <c r="L5" s="1">
        <v>4.63</v>
      </c>
      <c r="O5">
        <v>282</v>
      </c>
      <c r="P5">
        <v>653.90499999999997</v>
      </c>
      <c r="Q5">
        <v>5454.42</v>
      </c>
      <c r="R5">
        <v>172.33999999999997</v>
      </c>
      <c r="S5">
        <v>5725.5</v>
      </c>
      <c r="U5">
        <f t="shared" si="0"/>
        <v>3.0460183749668479</v>
      </c>
      <c r="V5">
        <f t="shared" si="1"/>
        <v>2.5089977884426649</v>
      </c>
    </row>
    <row r="6" spans="1:22" x14ac:dyDescent="0.25">
      <c r="A6" s="1">
        <v>0.45</v>
      </c>
      <c r="B6" s="1">
        <v>3</v>
      </c>
      <c r="C6" s="1">
        <v>0.48</v>
      </c>
      <c r="D6" s="1">
        <v>5</v>
      </c>
      <c r="E6" s="1">
        <v>6.57</v>
      </c>
      <c r="G6" s="1">
        <v>1</v>
      </c>
      <c r="H6" s="1">
        <v>0.45</v>
      </c>
      <c r="I6" s="1">
        <v>3</v>
      </c>
      <c r="J6" s="1">
        <v>0.48</v>
      </c>
      <c r="K6" s="1">
        <v>5</v>
      </c>
      <c r="L6" s="1">
        <v>6.57</v>
      </c>
      <c r="U6">
        <f t="shared" si="0"/>
        <v>5.9714004461542274</v>
      </c>
      <c r="V6">
        <f t="shared" si="1"/>
        <v>0.35832142586435839</v>
      </c>
    </row>
    <row r="7" spans="1:22" x14ac:dyDescent="0.25">
      <c r="A7" s="1">
        <v>3.58</v>
      </c>
      <c r="B7" s="1">
        <v>11.13</v>
      </c>
      <c r="C7" s="1">
        <v>0.24</v>
      </c>
      <c r="D7" s="1">
        <v>5</v>
      </c>
      <c r="E7" s="1">
        <v>6.91</v>
      </c>
      <c r="G7" s="1">
        <v>1</v>
      </c>
      <c r="H7" s="1">
        <v>3.58</v>
      </c>
      <c r="I7" s="1">
        <v>11.13</v>
      </c>
      <c r="J7" s="1">
        <v>0.24</v>
      </c>
      <c r="K7" s="1">
        <v>5</v>
      </c>
      <c r="L7" s="1">
        <v>6.91</v>
      </c>
      <c r="N7" t="s">
        <v>15</v>
      </c>
      <c r="O7">
        <f t="array" ref="O7:S11" xml:space="preserve"> MINVERSE(O1:S5)</f>
        <v>0.64114457070884145</v>
      </c>
      <c r="P7">
        <v>-4.4549650114809818E-2</v>
      </c>
      <c r="Q7">
        <v>-6.4316451660924381E-3</v>
      </c>
      <c r="R7">
        <v>-0.39880209109482428</v>
      </c>
      <c r="S7">
        <v>-8.3592845298137586E-3</v>
      </c>
      <c r="U7">
        <f t="shared" si="0"/>
        <v>5.4794413715597639</v>
      </c>
      <c r="V7">
        <f t="shared" si="1"/>
        <v>2.0464979894048101</v>
      </c>
    </row>
    <row r="8" spans="1:22" x14ac:dyDescent="0.25">
      <c r="A8" s="1">
        <v>1.95</v>
      </c>
      <c r="B8" s="1">
        <v>44.38</v>
      </c>
      <c r="C8" s="1">
        <v>0.9</v>
      </c>
      <c r="D8" s="1">
        <v>7</v>
      </c>
      <c r="E8" s="1">
        <v>9.23</v>
      </c>
      <c r="G8" s="1">
        <v>1</v>
      </c>
      <c r="H8" s="1">
        <v>1.95</v>
      </c>
      <c r="I8" s="1">
        <v>44.38</v>
      </c>
      <c r="J8" s="1">
        <v>0.9</v>
      </c>
      <c r="K8" s="1">
        <v>7</v>
      </c>
      <c r="L8" s="1">
        <v>9.23</v>
      </c>
      <c r="O8">
        <v>-4.4549650114809811E-2</v>
      </c>
      <c r="P8">
        <v>1.078653632977843E-2</v>
      </c>
      <c r="Q8">
        <v>2.7590140774220193E-4</v>
      </c>
      <c r="R8">
        <v>9.9007508855368902E-3</v>
      </c>
      <c r="S8">
        <v>4.0144157359566093E-4</v>
      </c>
      <c r="U8">
        <f t="shared" si="0"/>
        <v>9.0425435495602287</v>
      </c>
      <c r="V8">
        <f t="shared" si="1"/>
        <v>3.5139920811478612E-2</v>
      </c>
    </row>
    <row r="9" spans="1:22" x14ac:dyDescent="0.25">
      <c r="A9" s="1">
        <v>3.81</v>
      </c>
      <c r="B9" s="1">
        <v>5.5</v>
      </c>
      <c r="C9" s="1">
        <v>0.61</v>
      </c>
      <c r="D9" s="1">
        <v>9</v>
      </c>
      <c r="E9" s="1">
        <v>11.4</v>
      </c>
      <c r="G9" s="1">
        <v>1</v>
      </c>
      <c r="H9" s="1">
        <v>3.81</v>
      </c>
      <c r="I9" s="1">
        <v>5.5</v>
      </c>
      <c r="J9" s="1">
        <v>0.61</v>
      </c>
      <c r="K9" s="1">
        <v>9</v>
      </c>
      <c r="L9" s="1">
        <v>11.4</v>
      </c>
      <c r="O9">
        <v>-6.4316451660924364E-3</v>
      </c>
      <c r="P9">
        <v>2.7590140774220187E-4</v>
      </c>
      <c r="Q9">
        <v>1.7952725712763344E-4</v>
      </c>
      <c r="R9">
        <v>1.6447899039775103E-3</v>
      </c>
      <c r="S9">
        <v>6.4733293674755404E-5</v>
      </c>
      <c r="U9">
        <f t="shared" si="0"/>
        <v>12.213763941518863</v>
      </c>
      <c r="V9">
        <f t="shared" si="1"/>
        <v>0.66221175251631492</v>
      </c>
    </row>
    <row r="10" spans="1:22" x14ac:dyDescent="0.25">
      <c r="A10" s="1">
        <v>5.71</v>
      </c>
      <c r="B10" s="1">
        <v>42.28</v>
      </c>
      <c r="C10" s="1">
        <v>0.83</v>
      </c>
      <c r="D10" s="1">
        <v>9.5</v>
      </c>
      <c r="E10" s="1">
        <v>12.04</v>
      </c>
      <c r="G10" s="1">
        <v>1</v>
      </c>
      <c r="H10" s="1">
        <v>5.71</v>
      </c>
      <c r="I10" s="1">
        <v>42.28</v>
      </c>
      <c r="J10" s="1">
        <v>0.83</v>
      </c>
      <c r="K10" s="1">
        <v>9.5</v>
      </c>
      <c r="L10" s="1">
        <v>12.04</v>
      </c>
      <c r="O10">
        <v>-0.39880209109482384</v>
      </c>
      <c r="P10">
        <v>9.9007508855368468E-3</v>
      </c>
      <c r="Q10">
        <v>1.6447899039775074E-3</v>
      </c>
      <c r="R10">
        <v>0.7781298648332905</v>
      </c>
      <c r="S10">
        <v>-6.4773795602984727E-3</v>
      </c>
      <c r="U10">
        <f t="shared" si="0"/>
        <v>12.58154827798251</v>
      </c>
      <c r="V10">
        <f t="shared" si="1"/>
        <v>0.29327453738582243</v>
      </c>
    </row>
    <row r="11" spans="1:22" x14ac:dyDescent="0.25">
      <c r="A11" s="1">
        <v>5.64</v>
      </c>
      <c r="B11" s="1">
        <v>18.11</v>
      </c>
      <c r="C11" s="1">
        <v>0.09</v>
      </c>
      <c r="D11" s="1">
        <v>11</v>
      </c>
      <c r="E11" s="1">
        <v>16.75</v>
      </c>
      <c r="G11" s="1">
        <v>1</v>
      </c>
      <c r="H11" s="1">
        <v>5.64</v>
      </c>
      <c r="I11" s="1">
        <v>18.11</v>
      </c>
      <c r="J11" s="1">
        <v>0.09</v>
      </c>
      <c r="K11" s="1">
        <v>11</v>
      </c>
      <c r="L11" s="1">
        <v>16.75</v>
      </c>
      <c r="O11">
        <v>-8.359284529813776E-3</v>
      </c>
      <c r="P11">
        <v>4.0144157359566239E-4</v>
      </c>
      <c r="Q11">
        <v>6.4733293674755621E-5</v>
      </c>
      <c r="R11">
        <v>-6.4773795602984597E-3</v>
      </c>
      <c r="S11">
        <v>6.7383505492302654E-4</v>
      </c>
      <c r="U11">
        <f t="shared" si="0"/>
        <v>17.098462726583833</v>
      </c>
      <c r="V11">
        <f t="shared" si="1"/>
        <v>0.12142627181823895</v>
      </c>
    </row>
    <row r="12" spans="1:22" x14ac:dyDescent="0.25">
      <c r="A12" s="1">
        <v>0.2</v>
      </c>
      <c r="B12" s="1">
        <v>7.62</v>
      </c>
      <c r="C12" s="1">
        <v>0.33</v>
      </c>
      <c r="D12" s="1">
        <v>16</v>
      </c>
      <c r="E12" s="1">
        <v>24.55</v>
      </c>
      <c r="G12" s="1">
        <v>1</v>
      </c>
      <c r="H12" s="1">
        <v>0.2</v>
      </c>
      <c r="I12" s="1">
        <v>7.62</v>
      </c>
      <c r="J12" s="1">
        <v>0.33</v>
      </c>
      <c r="K12" s="1">
        <v>16</v>
      </c>
      <c r="L12" s="1">
        <v>24.55</v>
      </c>
      <c r="U12">
        <f t="shared" si="0"/>
        <v>28.452671507716108</v>
      </c>
      <c r="V12">
        <f t="shared" si="1"/>
        <v>15.230844897139113</v>
      </c>
    </row>
    <row r="13" spans="1:22" x14ac:dyDescent="0.25">
      <c r="A13" s="1">
        <v>5.41</v>
      </c>
      <c r="B13" s="1">
        <v>11.73</v>
      </c>
      <c r="C13" s="1">
        <v>0.28999999999999998</v>
      </c>
      <c r="D13" s="1">
        <v>18</v>
      </c>
      <c r="E13" s="1">
        <v>27.64</v>
      </c>
      <c r="G13" s="1">
        <v>1</v>
      </c>
      <c r="H13" s="1">
        <v>5.41</v>
      </c>
      <c r="I13" s="1">
        <v>11.73</v>
      </c>
      <c r="J13" s="1">
        <v>0.28999999999999998</v>
      </c>
      <c r="K13" s="1">
        <v>18</v>
      </c>
      <c r="L13" s="1">
        <v>27.64</v>
      </c>
      <c r="N13" t="s">
        <v>16</v>
      </c>
      <c r="O13">
        <f t="array" ref="O13:O17" xml:space="preserve"> MMULT(TRANSPOSE(G2:K21), L2:L21)</f>
        <v>467.71999999999997</v>
      </c>
      <c r="Q13" t="s">
        <v>17</v>
      </c>
      <c r="R13">
        <f t="array" ref="R13:R17">MMULT(O7:S11,O13:O17)</f>
        <v>-2.5405399876210311</v>
      </c>
      <c r="U13">
        <f t="shared" si="0"/>
        <v>30.437149817828164</v>
      </c>
      <c r="V13">
        <f xml:space="preserve"> POWER(L13 - U13, 2)</f>
        <v>7.8240471033761283</v>
      </c>
    </row>
    <row r="14" spans="1:22" x14ac:dyDescent="0.25">
      <c r="A14" s="1">
        <v>7.56</v>
      </c>
      <c r="B14" s="1">
        <v>13.85</v>
      </c>
      <c r="C14" s="1">
        <v>0.55000000000000004</v>
      </c>
      <c r="D14" s="1">
        <v>18</v>
      </c>
      <c r="E14" s="1">
        <v>29.64</v>
      </c>
      <c r="G14" s="1">
        <v>1</v>
      </c>
      <c r="H14" s="1">
        <v>7.56</v>
      </c>
      <c r="I14" s="1">
        <v>13.85</v>
      </c>
      <c r="J14" s="1">
        <v>0.55000000000000004</v>
      </c>
      <c r="K14" s="1">
        <v>18</v>
      </c>
      <c r="L14" s="1">
        <v>29.64</v>
      </c>
      <c r="O14">
        <v>1023.8301</v>
      </c>
      <c r="R14">
        <v>-0.41974281658067092</v>
      </c>
      <c r="U14">
        <f t="shared" si="0"/>
        <v>28.872762605887885</v>
      </c>
      <c r="V14">
        <f t="shared" si="1"/>
        <v>0.58865321892394906</v>
      </c>
    </row>
    <row r="15" spans="1:22" x14ac:dyDescent="0.25">
      <c r="A15" s="1">
        <v>1.0900000000000001</v>
      </c>
      <c r="B15" s="1">
        <v>22.54</v>
      </c>
      <c r="C15" s="1">
        <v>0.94</v>
      </c>
      <c r="D15" s="1">
        <v>20</v>
      </c>
      <c r="E15" s="1">
        <v>32.9</v>
      </c>
      <c r="G15" s="1">
        <v>1</v>
      </c>
      <c r="H15" s="1">
        <v>1.0900000000000001</v>
      </c>
      <c r="I15" s="1">
        <v>22.54</v>
      </c>
      <c r="J15" s="1">
        <v>0.94</v>
      </c>
      <c r="K15" s="1">
        <v>20</v>
      </c>
      <c r="L15" s="1">
        <v>32.9</v>
      </c>
      <c r="O15">
        <v>9043.8549000000003</v>
      </c>
      <c r="R15">
        <v>2.0899758723689654E-2</v>
      </c>
      <c r="U15">
        <f t="shared" si="0"/>
        <v>34.687532957624349</v>
      </c>
      <c r="V15">
        <f t="shared" si="1"/>
        <v>3.1952740745932569</v>
      </c>
    </row>
    <row r="16" spans="1:22" x14ac:dyDescent="0.25">
      <c r="A16" s="1">
        <v>0.76</v>
      </c>
      <c r="B16" s="1">
        <v>7.01</v>
      </c>
      <c r="C16" s="1">
        <v>0.94</v>
      </c>
      <c r="D16" s="1">
        <v>20</v>
      </c>
      <c r="E16" s="1">
        <v>33.520000000000003</v>
      </c>
      <c r="G16" s="1">
        <v>1</v>
      </c>
      <c r="H16" s="1">
        <v>0.76</v>
      </c>
      <c r="I16" s="1">
        <v>7.01</v>
      </c>
      <c r="J16" s="1">
        <v>0.94</v>
      </c>
      <c r="K16" s="1">
        <v>20</v>
      </c>
      <c r="L16" s="1">
        <v>33.520000000000003</v>
      </c>
      <c r="O16">
        <v>287.65010000000001</v>
      </c>
      <c r="R16">
        <v>-2.7163370953309993</v>
      </c>
      <c r="U16">
        <f t="shared" si="0"/>
        <v>34.501474834117069</v>
      </c>
      <c r="V16">
        <f t="shared" si="1"/>
        <v>0.96329285000512144</v>
      </c>
    </row>
    <row r="17" spans="1:22" x14ac:dyDescent="0.25">
      <c r="A17" s="1">
        <v>0.42</v>
      </c>
      <c r="B17" s="1">
        <v>3.1</v>
      </c>
      <c r="C17" s="1">
        <v>0.94</v>
      </c>
      <c r="D17" s="1">
        <v>20</v>
      </c>
      <c r="E17" s="1">
        <v>33.75</v>
      </c>
      <c r="G17" s="1">
        <v>1</v>
      </c>
      <c r="H17" s="1">
        <v>0.42</v>
      </c>
      <c r="I17" s="1">
        <v>3.1</v>
      </c>
      <c r="J17" s="1">
        <v>0.94</v>
      </c>
      <c r="K17" s="1">
        <v>20</v>
      </c>
      <c r="L17" s="1">
        <v>33.75</v>
      </c>
      <c r="O17">
        <v>10039.504999999999</v>
      </c>
      <c r="R17">
        <v>1.9883934461648742</v>
      </c>
      <c r="U17">
        <f t="shared" si="0"/>
        <v>34.562469335144868</v>
      </c>
      <c r="V17">
        <f t="shared" si="1"/>
        <v>0.66010642055074453</v>
      </c>
    </row>
    <row r="18" spans="1:22" x14ac:dyDescent="0.25">
      <c r="A18" s="1">
        <v>4.25</v>
      </c>
      <c r="B18" s="1">
        <v>14.45</v>
      </c>
      <c r="C18" s="1">
        <v>0.84</v>
      </c>
      <c r="D18" s="1">
        <v>25</v>
      </c>
      <c r="E18" s="1">
        <v>42.89</v>
      </c>
      <c r="G18" s="1">
        <v>1</v>
      </c>
      <c r="H18" s="1">
        <v>4.25</v>
      </c>
      <c r="I18" s="1">
        <v>14.45</v>
      </c>
      <c r="J18" s="1">
        <v>0.84</v>
      </c>
      <c r="K18" s="1">
        <v>25</v>
      </c>
      <c r="L18" s="1">
        <v>42.89</v>
      </c>
      <c r="U18">
        <f t="shared" si="0"/>
        <v>43.405667549512252</v>
      </c>
      <c r="V18">
        <f t="shared" si="1"/>
        <v>0.26591302161997021</v>
      </c>
    </row>
    <row r="19" spans="1:22" x14ac:dyDescent="0.25">
      <c r="A19" s="1">
        <v>0.76</v>
      </c>
      <c r="B19" s="1">
        <v>50.46</v>
      </c>
      <c r="C19" s="1">
        <v>0.43</v>
      </c>
      <c r="D19" s="1">
        <v>26</v>
      </c>
      <c r="E19" s="1">
        <v>48.87</v>
      </c>
      <c r="G19" s="1">
        <v>1</v>
      </c>
      <c r="H19" s="1">
        <v>0.76</v>
      </c>
      <c r="I19" s="1">
        <v>50.46</v>
      </c>
      <c r="J19" s="1">
        <v>0.43</v>
      </c>
      <c r="K19" s="1">
        <v>26</v>
      </c>
      <c r="L19" s="1">
        <v>48.87</v>
      </c>
      <c r="U19">
        <f t="shared" si="0"/>
        <v>48.725261946269441</v>
      </c>
      <c r="V19">
        <f t="shared" si="1"/>
        <v>2.094910419770939E-2</v>
      </c>
    </row>
    <row r="20" spans="1:22" x14ac:dyDescent="0.25">
      <c r="A20" s="1">
        <v>0.76</v>
      </c>
      <c r="B20" s="1">
        <v>24.8</v>
      </c>
      <c r="C20" s="1">
        <v>0.34</v>
      </c>
      <c r="D20" s="1">
        <v>30</v>
      </c>
      <c r="E20" s="1">
        <v>58.45</v>
      </c>
      <c r="G20" s="1">
        <v>1</v>
      </c>
      <c r="H20" s="1">
        <v>0.76</v>
      </c>
      <c r="I20" s="1">
        <v>24.8</v>
      </c>
      <c r="J20" s="1">
        <v>0.34</v>
      </c>
      <c r="K20" s="1">
        <v>30</v>
      </c>
      <c r="L20" s="1">
        <v>58.45</v>
      </c>
      <c r="U20">
        <f t="shared" si="0"/>
        <v>56.387018260658849</v>
      </c>
      <c r="V20">
        <f t="shared" si="1"/>
        <v>4.2558936568550543</v>
      </c>
    </row>
    <row r="21" spans="1:22" x14ac:dyDescent="0.25">
      <c r="A21" s="1">
        <v>0.5</v>
      </c>
      <c r="B21" s="1">
        <v>11.2</v>
      </c>
      <c r="C21" s="1">
        <v>0.79</v>
      </c>
      <c r="D21" s="1">
        <v>31.5</v>
      </c>
      <c r="E21" s="1">
        <v>61.69</v>
      </c>
      <c r="G21" s="1">
        <v>1</v>
      </c>
      <c r="H21" s="1">
        <v>0.5</v>
      </c>
      <c r="I21" s="1">
        <v>11.2</v>
      </c>
      <c r="J21" s="1">
        <v>0.79</v>
      </c>
      <c r="K21" s="1">
        <v>31.5</v>
      </c>
      <c r="L21" s="1">
        <v>61.69</v>
      </c>
      <c r="U21">
        <f t="shared" si="0"/>
        <v>57.972153150676007</v>
      </c>
      <c r="V21">
        <f t="shared" si="1"/>
        <v>13.822385195028323</v>
      </c>
    </row>
    <row r="22" spans="1:22" x14ac:dyDescent="0.25">
      <c r="U22" t="s">
        <v>20</v>
      </c>
      <c r="V22">
        <f xml:space="preserve"> AVERAGE(V2:V21)</f>
        <v>3.1399499954149195</v>
      </c>
    </row>
    <row r="23" spans="1:22" x14ac:dyDescent="0.25">
      <c r="U23" t="s">
        <v>21</v>
      </c>
      <c r="V23">
        <f xml:space="preserve"> SQRT(V22)</f>
        <v>1.7719904050008057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E1" sqref="E1:G2"/>
    </sheetView>
  </sheetViews>
  <sheetFormatPr defaultRowHeight="15" x14ac:dyDescent="0.25"/>
  <cols>
    <col min="10" max="10" width="10.28515625" bestFit="1" customWidth="1"/>
    <col min="11" max="13" width="12.7109375" bestFit="1" customWidth="1"/>
    <col min="14" max="14" width="12" bestFit="1" customWidth="1"/>
    <col min="16" max="16" width="14.5703125" bestFit="1" customWidth="1"/>
    <col min="17" max="17" width="13.140625" bestFit="1" customWidth="1"/>
  </cols>
  <sheetData>
    <row r="1" spans="1:17" x14ac:dyDescent="0.25">
      <c r="A1" s="1" t="s">
        <v>10</v>
      </c>
      <c r="B1" s="1" t="s">
        <v>11</v>
      </c>
      <c r="C1" s="1" t="s">
        <v>12</v>
      </c>
      <c r="E1" s="1" t="s">
        <v>13</v>
      </c>
      <c r="F1" s="1" t="s">
        <v>10</v>
      </c>
      <c r="G1" s="1" t="s">
        <v>11</v>
      </c>
      <c r="H1" s="1" t="s">
        <v>12</v>
      </c>
      <c r="J1" t="s">
        <v>14</v>
      </c>
      <c r="K1">
        <f t="array" ref="K1:M3" xml:space="preserve"> MMULT(TRANSPOSE(E2:H12), E2:H12)</f>
        <v>11</v>
      </c>
      <c r="L1">
        <v>66</v>
      </c>
      <c r="M1">
        <v>47</v>
      </c>
      <c r="P1" t="s">
        <v>18</v>
      </c>
      <c r="Q1" t="s">
        <v>19</v>
      </c>
    </row>
    <row r="2" spans="1:17" x14ac:dyDescent="0.25">
      <c r="A2" s="1">
        <v>7</v>
      </c>
      <c r="B2" s="1">
        <v>5</v>
      </c>
      <c r="C2" s="1">
        <v>65</v>
      </c>
      <c r="E2" s="2">
        <v>1</v>
      </c>
      <c r="F2" s="2">
        <v>7</v>
      </c>
      <c r="G2" s="2">
        <v>5</v>
      </c>
      <c r="H2" s="2">
        <v>65</v>
      </c>
      <c r="K2">
        <v>66</v>
      </c>
      <c r="L2">
        <v>454</v>
      </c>
      <c r="M2">
        <v>261</v>
      </c>
      <c r="P2">
        <f xml:space="preserve"> $N$9 + $N$10 * F2 + $N$11 * G2</f>
        <v>54.810499624828537</v>
      </c>
      <c r="Q2">
        <f xml:space="preserve"> POWER(H2 - P2, 2)</f>
        <v>103.82591789561937</v>
      </c>
    </row>
    <row r="3" spans="1:17" x14ac:dyDescent="0.25">
      <c r="A3" s="1">
        <v>3</v>
      </c>
      <c r="B3" s="1">
        <v>7</v>
      </c>
      <c r="C3" s="1">
        <v>38</v>
      </c>
      <c r="E3" s="2">
        <v>1</v>
      </c>
      <c r="F3" s="2">
        <v>3</v>
      </c>
      <c r="G3" s="2">
        <v>7</v>
      </c>
      <c r="H3" s="2">
        <v>38</v>
      </c>
      <c r="K3">
        <v>47</v>
      </c>
      <c r="L3">
        <v>261</v>
      </c>
      <c r="M3">
        <v>269</v>
      </c>
      <c r="P3">
        <f t="shared" ref="P3:P12" si="0" xml:space="preserve"> $N$9 + $N$10 * F3 + $N$11 * G3</f>
        <v>42.746177132655433</v>
      </c>
      <c r="Q3">
        <f t="shared" ref="Q3:Q12" si="1" xml:space="preserve"> POWER(H3 - P3, 2)</f>
        <v>22.526197374541344</v>
      </c>
    </row>
    <row r="4" spans="1:17" x14ac:dyDescent="0.25">
      <c r="A4" s="1">
        <v>5</v>
      </c>
      <c r="B4" s="1">
        <v>8</v>
      </c>
      <c r="C4" s="1">
        <v>51</v>
      </c>
      <c r="E4" s="2">
        <v>1</v>
      </c>
      <c r="F4" s="2">
        <v>5</v>
      </c>
      <c r="G4" s="2">
        <v>8</v>
      </c>
      <c r="H4" s="2">
        <v>51</v>
      </c>
      <c r="P4">
        <f t="shared" si="0"/>
        <v>56.295169344614322</v>
      </c>
      <c r="Q4">
        <f t="shared" si="1"/>
        <v>28.038818388143273</v>
      </c>
    </row>
    <row r="5" spans="1:17" x14ac:dyDescent="0.25">
      <c r="A5" s="1">
        <v>8</v>
      </c>
      <c r="B5" s="1">
        <v>1</v>
      </c>
      <c r="C5" s="1">
        <v>38</v>
      </c>
      <c r="E5" s="2">
        <v>1</v>
      </c>
      <c r="F5" s="2">
        <v>8</v>
      </c>
      <c r="G5" s="2">
        <v>1</v>
      </c>
      <c r="H5" s="2">
        <v>38</v>
      </c>
      <c r="J5" t="s">
        <v>15</v>
      </c>
      <c r="K5">
        <f t="array" ref="K5:M7" xml:space="preserve"> MINVERSE(K1:M3)</f>
        <v>1.3973194649279432</v>
      </c>
      <c r="L5">
        <v>-0.14197003803461952</v>
      </c>
      <c r="M5">
        <v>-0.10639343838132949</v>
      </c>
      <c r="P5">
        <f t="shared" si="0"/>
        <v>44.672126057595207</v>
      </c>
      <c r="Q5">
        <f t="shared" si="1"/>
        <v>44.517266128440966</v>
      </c>
    </row>
    <row r="6" spans="1:17" x14ac:dyDescent="0.25">
      <c r="A6" s="1">
        <v>9</v>
      </c>
      <c r="B6" s="1">
        <v>3</v>
      </c>
      <c r="C6" s="1">
        <v>55</v>
      </c>
      <c r="E6" s="2">
        <v>1</v>
      </c>
      <c r="F6" s="2">
        <v>9</v>
      </c>
      <c r="G6" s="2">
        <v>3</v>
      </c>
      <c r="H6" s="2">
        <v>55</v>
      </c>
      <c r="K6">
        <v>-0.14197003803461947</v>
      </c>
      <c r="L6">
        <v>1.9405417992703587E-2</v>
      </c>
      <c r="M6">
        <v>5.9768687417527068E-3</v>
      </c>
      <c r="P6">
        <f t="shared" si="0"/>
        <v>57.08424538797891</v>
      </c>
      <c r="Q6">
        <f t="shared" si="1"/>
        <v>4.3440788373113586</v>
      </c>
    </row>
    <row r="7" spans="1:17" x14ac:dyDescent="0.25">
      <c r="A7" s="1">
        <v>5</v>
      </c>
      <c r="B7" s="1">
        <v>4</v>
      </c>
      <c r="C7" s="1">
        <v>43</v>
      </c>
      <c r="E7" s="2">
        <v>1</v>
      </c>
      <c r="F7" s="2">
        <v>5</v>
      </c>
      <c r="G7" s="2">
        <v>4</v>
      </c>
      <c r="H7" s="2">
        <v>43</v>
      </c>
      <c r="K7">
        <v>-0.10639343838132957</v>
      </c>
      <c r="L7">
        <v>5.976868741752718E-3</v>
      </c>
      <c r="M7">
        <v>1.6507542239126507E-2</v>
      </c>
      <c r="P7">
        <f t="shared" si="0"/>
        <v>41.261507412869634</v>
      </c>
      <c r="Q7">
        <f t="shared" si="1"/>
        <v>3.0223564755072347</v>
      </c>
    </row>
    <row r="8" spans="1:17" x14ac:dyDescent="0.25">
      <c r="A8" s="1">
        <v>4</v>
      </c>
      <c r="B8" s="1">
        <v>0</v>
      </c>
      <c r="C8" s="1">
        <v>25</v>
      </c>
      <c r="E8" s="2">
        <v>1</v>
      </c>
      <c r="F8" s="2">
        <v>4</v>
      </c>
      <c r="G8" s="2">
        <v>0</v>
      </c>
      <c r="H8" s="2">
        <v>25</v>
      </c>
      <c r="P8">
        <f t="shared" si="0"/>
        <v>21.332557116613586</v>
      </c>
      <c r="Q8">
        <f t="shared" si="1"/>
        <v>13.450137302901656</v>
      </c>
    </row>
    <row r="9" spans="1:17" x14ac:dyDescent="0.25">
      <c r="A9" s="1">
        <v>2</v>
      </c>
      <c r="B9" s="1">
        <v>6</v>
      </c>
      <c r="C9" s="1">
        <v>33</v>
      </c>
      <c r="E9" s="2">
        <v>1</v>
      </c>
      <c r="F9" s="2">
        <v>2</v>
      </c>
      <c r="G9" s="2">
        <v>6</v>
      </c>
      <c r="H9" s="2">
        <v>33</v>
      </c>
      <c r="J9" t="s">
        <v>16</v>
      </c>
      <c r="K9">
        <f t="array" ref="K9:K11" xml:space="preserve"> MMULT(TRANSPOSE(E2:G12), H2:H12)</f>
        <v>519</v>
      </c>
      <c r="M9" t="s">
        <v>17</v>
      </c>
      <c r="N9">
        <f t="array" ref="N9:N11" xml:space="preserve"> MMULT(K5:M7, K9:K11)</f>
        <v>1.7514036585681367</v>
      </c>
      <c r="P9">
        <f t="shared" si="0"/>
        <v>34.092473285207895</v>
      </c>
      <c r="Q9">
        <f t="shared" si="1"/>
        <v>1.19349787889293</v>
      </c>
    </row>
    <row r="10" spans="1:17" x14ac:dyDescent="0.25">
      <c r="A10" s="1">
        <v>8</v>
      </c>
      <c r="B10" s="1">
        <v>7</v>
      </c>
      <c r="C10" s="1">
        <v>71</v>
      </c>
      <c r="E10" s="2">
        <v>1</v>
      </c>
      <c r="F10" s="2">
        <v>8</v>
      </c>
      <c r="G10" s="2">
        <v>7</v>
      </c>
      <c r="H10" s="2">
        <v>71</v>
      </c>
      <c r="K10">
        <v>3319</v>
      </c>
      <c r="N10">
        <v>4.8952883645113623</v>
      </c>
      <c r="P10">
        <f t="shared" si="0"/>
        <v>67.222618955212241</v>
      </c>
      <c r="Q10">
        <f t="shared" si="1"/>
        <v>14.268607557521864</v>
      </c>
    </row>
    <row r="11" spans="1:17" x14ac:dyDescent="0.25">
      <c r="A11" s="1">
        <v>6</v>
      </c>
      <c r="B11" s="1">
        <v>4</v>
      </c>
      <c r="C11" s="1">
        <v>51</v>
      </c>
      <c r="E11" s="2">
        <v>1</v>
      </c>
      <c r="F11" s="2">
        <v>6</v>
      </c>
      <c r="G11" s="2">
        <v>4</v>
      </c>
      <c r="H11" s="2">
        <v>51</v>
      </c>
      <c r="K11">
        <v>2371</v>
      </c>
      <c r="N11">
        <v>3.7584154829361722</v>
      </c>
      <c r="P11">
        <f t="shared" si="0"/>
        <v>46.156795777380999</v>
      </c>
      <c r="Q11">
        <f t="shared" si="1"/>
        <v>23.456627141994517</v>
      </c>
    </row>
    <row r="12" spans="1:17" x14ac:dyDescent="0.25">
      <c r="A12" s="1">
        <v>9</v>
      </c>
      <c r="B12" s="1">
        <v>2</v>
      </c>
      <c r="C12" s="1">
        <v>49</v>
      </c>
      <c r="E12" s="2">
        <v>1</v>
      </c>
      <c r="F12" s="2">
        <v>9</v>
      </c>
      <c r="G12" s="2">
        <v>2</v>
      </c>
      <c r="H12" s="2">
        <v>49</v>
      </c>
      <c r="P12">
        <f t="shared" si="0"/>
        <v>53.325829905042738</v>
      </c>
      <c r="Q12">
        <f t="shared" si="1"/>
        <v>18.712804367362065</v>
      </c>
    </row>
    <row r="13" spans="1:17" x14ac:dyDescent="0.25">
      <c r="P13" t="s">
        <v>20</v>
      </c>
      <c r="Q13">
        <f xml:space="preserve"> AVERAGE(Q2:Q12)</f>
        <v>25.214209940748784</v>
      </c>
    </row>
    <row r="14" spans="1:17" x14ac:dyDescent="0.25">
      <c r="P14" t="s">
        <v>21</v>
      </c>
      <c r="Q14">
        <f xml:space="preserve"> SQRT(Q13)</f>
        <v>5.0213753037139917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B1" workbookViewId="0">
      <selection activeCell="F20" sqref="F20"/>
    </sheetView>
  </sheetViews>
  <sheetFormatPr defaultRowHeight="15" x14ac:dyDescent="0.25"/>
  <cols>
    <col min="3" max="3" width="11.28515625" bestFit="1" customWidth="1"/>
    <col min="4" max="4" width="17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>
        <f xml:space="preserve"> STDEVA(A2:A14)</f>
        <v>5.840014488917749</v>
      </c>
    </row>
    <row r="2" spans="1:5" x14ac:dyDescent="0.25">
      <c r="A2">
        <v>73.5</v>
      </c>
      <c r="B2">
        <v>1.49</v>
      </c>
      <c r="C2">
        <f xml:space="preserve"> $E$7 + $E$6 * A2</f>
        <v>1.4846771919932338</v>
      </c>
      <c r="D2" t="s">
        <v>3</v>
      </c>
      <c r="E2">
        <f xml:space="preserve"> STDEVA(B2:B14)</f>
        <v>6.5496134158769898E-2</v>
      </c>
    </row>
    <row r="3" spans="1:5" x14ac:dyDescent="0.25">
      <c r="A3">
        <v>75</v>
      </c>
      <c r="B3">
        <v>1.5</v>
      </c>
      <c r="C3">
        <f t="shared" ref="C3:C14" si="0" xml:space="preserve"> $E$7 + $E$6 * A3</f>
        <v>1.5014533408514237</v>
      </c>
      <c r="D3" t="s">
        <v>4</v>
      </c>
      <c r="E3">
        <f xml:space="preserve"> AVERAGE(A2:A14)</f>
        <v>83.192307692307693</v>
      </c>
    </row>
    <row r="4" spans="1:5" x14ac:dyDescent="0.25">
      <c r="A4">
        <v>76.5</v>
      </c>
      <c r="B4">
        <v>1.51</v>
      </c>
      <c r="C4">
        <f t="shared" si="0"/>
        <v>1.5182294897096138</v>
      </c>
      <c r="D4" t="s">
        <v>5</v>
      </c>
      <c r="E4">
        <f xml:space="preserve"> AVERAGE(B2:B14)</f>
        <v>1.5930769230769231</v>
      </c>
    </row>
    <row r="5" spans="1:5" x14ac:dyDescent="0.25">
      <c r="A5">
        <v>79</v>
      </c>
      <c r="B5">
        <v>1.54</v>
      </c>
      <c r="C5">
        <f t="shared" si="0"/>
        <v>1.5461897378065972</v>
      </c>
      <c r="D5" t="s">
        <v>6</v>
      </c>
      <c r="E5">
        <f xml:space="preserve"> CORREL(A2:A14, B2:B14)</f>
        <v>0.99723903462325769</v>
      </c>
    </row>
    <row r="6" spans="1:5" x14ac:dyDescent="0.25">
      <c r="A6">
        <v>81.5</v>
      </c>
      <c r="B6">
        <v>1.58</v>
      </c>
      <c r="C6">
        <f t="shared" si="0"/>
        <v>1.5741499859035804</v>
      </c>
      <c r="D6" t="s">
        <v>7</v>
      </c>
      <c r="E6">
        <f xml:space="preserve"> E5 * (E2 / E1)</f>
        <v>1.1184099238793339E-2</v>
      </c>
    </row>
    <row r="7" spans="1:5" x14ac:dyDescent="0.25">
      <c r="A7">
        <v>82.5</v>
      </c>
      <c r="B7">
        <v>1.59</v>
      </c>
      <c r="C7">
        <f t="shared" si="0"/>
        <v>1.5853340851423738</v>
      </c>
      <c r="D7" t="s">
        <v>8</v>
      </c>
      <c r="E7">
        <f xml:space="preserve"> E4 - E6* E3</f>
        <v>0.66264589794192341</v>
      </c>
    </row>
    <row r="8" spans="1:5" x14ac:dyDescent="0.25">
      <c r="A8">
        <v>84</v>
      </c>
      <c r="B8">
        <v>1.6</v>
      </c>
      <c r="C8">
        <f t="shared" si="0"/>
        <v>1.602110234000564</v>
      </c>
    </row>
    <row r="9" spans="1:5" x14ac:dyDescent="0.25">
      <c r="A9">
        <v>85</v>
      </c>
      <c r="B9">
        <v>1.62</v>
      </c>
      <c r="C9">
        <f t="shared" si="0"/>
        <v>1.6132943332393572</v>
      </c>
    </row>
    <row r="10" spans="1:5" x14ac:dyDescent="0.25">
      <c r="A10">
        <v>86.5</v>
      </c>
      <c r="B10">
        <v>1.63</v>
      </c>
      <c r="C10">
        <f t="shared" si="0"/>
        <v>1.6300704820975471</v>
      </c>
    </row>
    <row r="11" spans="1:5" x14ac:dyDescent="0.25">
      <c r="A11">
        <v>87.5</v>
      </c>
      <c r="B11">
        <v>1.64</v>
      </c>
      <c r="C11">
        <f t="shared" si="0"/>
        <v>1.6412545813363404</v>
      </c>
    </row>
    <row r="12" spans="1:5" x14ac:dyDescent="0.25">
      <c r="A12">
        <v>89</v>
      </c>
      <c r="B12">
        <v>1.66</v>
      </c>
      <c r="C12">
        <f t="shared" si="0"/>
        <v>1.6580307301945305</v>
      </c>
    </row>
    <row r="13" spans="1:5" x14ac:dyDescent="0.25">
      <c r="A13">
        <v>90</v>
      </c>
      <c r="B13">
        <v>1.67</v>
      </c>
      <c r="C13">
        <f t="shared" si="0"/>
        <v>1.669214829433324</v>
      </c>
    </row>
    <row r="14" spans="1:5" x14ac:dyDescent="0.25">
      <c r="A14">
        <v>91.5</v>
      </c>
      <c r="B14">
        <v>1.68</v>
      </c>
      <c r="C14">
        <f t="shared" si="0"/>
        <v>1.6859909782915139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20" sqref="D20"/>
    </sheetView>
  </sheetViews>
  <sheetFormatPr defaultRowHeight="15" x14ac:dyDescent="0.25"/>
  <cols>
    <col min="3" max="3" width="11.28515625" bestFit="1" customWidth="1"/>
    <col min="4" max="4" width="17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>
        <f xml:space="preserve"> STDEVA(A2:A11)</f>
        <v>3.0276503540974917</v>
      </c>
    </row>
    <row r="2" spans="1:5" x14ac:dyDescent="0.25">
      <c r="A2">
        <v>1</v>
      </c>
      <c r="B2">
        <v>2</v>
      </c>
      <c r="C2">
        <f xml:space="preserve"> $E$7 + $E$6 * A2</f>
        <v>0.81818181818181879</v>
      </c>
      <c r="D2" t="s">
        <v>3</v>
      </c>
      <c r="E2">
        <f xml:space="preserve"> STDEVA(B2:B11)</f>
        <v>6.3909658459769938</v>
      </c>
    </row>
    <row r="3" spans="1:5" x14ac:dyDescent="0.25">
      <c r="A3">
        <v>2</v>
      </c>
      <c r="B3">
        <v>4</v>
      </c>
      <c r="C3">
        <f t="shared" ref="C3:C11" si="0" xml:space="preserve"> $E$7 + $E$6 * A3</f>
        <v>2.9030303030303033</v>
      </c>
      <c r="D3" t="s">
        <v>4</v>
      </c>
      <c r="E3">
        <f xml:space="preserve"> AVERAGE(A2:A11)</f>
        <v>5.5</v>
      </c>
    </row>
    <row r="4" spans="1:5" x14ac:dyDescent="0.25">
      <c r="A4">
        <v>3</v>
      </c>
      <c r="B4">
        <v>3</v>
      </c>
      <c r="C4">
        <f t="shared" si="0"/>
        <v>4.9878787878787882</v>
      </c>
      <c r="D4" t="s">
        <v>5</v>
      </c>
      <c r="E4">
        <f xml:space="preserve"> AVERAGE(B2:B11)</f>
        <v>10.199999999999999</v>
      </c>
    </row>
    <row r="5" spans="1:5" x14ac:dyDescent="0.25">
      <c r="A5">
        <v>4</v>
      </c>
      <c r="B5">
        <v>6</v>
      </c>
      <c r="C5">
        <f t="shared" si="0"/>
        <v>7.0727272727272723</v>
      </c>
      <c r="D5" t="s">
        <v>6</v>
      </c>
      <c r="E5">
        <f xml:space="preserve"> CORREL(A2:A11, B2:B11)</f>
        <v>0.98767422726324727</v>
      </c>
    </row>
    <row r="6" spans="1:5" x14ac:dyDescent="0.25">
      <c r="A6">
        <v>5</v>
      </c>
      <c r="B6">
        <v>9</v>
      </c>
      <c r="C6">
        <f t="shared" si="0"/>
        <v>9.1575757575757564</v>
      </c>
      <c r="D6" t="s">
        <v>7</v>
      </c>
      <c r="E6">
        <f xml:space="preserve"> E5 * (E2 / E1)</f>
        <v>2.0848484848484845</v>
      </c>
    </row>
    <row r="7" spans="1:5" x14ac:dyDescent="0.25">
      <c r="A7">
        <v>6</v>
      </c>
      <c r="B7">
        <v>12</v>
      </c>
      <c r="C7">
        <f t="shared" si="0"/>
        <v>11.242424242424242</v>
      </c>
      <c r="D7" t="s">
        <v>8</v>
      </c>
      <c r="E7">
        <f xml:space="preserve"> E4 - E6* E3</f>
        <v>-1.2666666666666657</v>
      </c>
    </row>
    <row r="8" spans="1:5" x14ac:dyDescent="0.25">
      <c r="A8">
        <v>7</v>
      </c>
      <c r="B8">
        <v>13</v>
      </c>
      <c r="C8">
        <f t="shared" si="0"/>
        <v>13.327272727272726</v>
      </c>
    </row>
    <row r="9" spans="1:5" x14ac:dyDescent="0.25">
      <c r="A9">
        <v>8</v>
      </c>
      <c r="B9">
        <v>15</v>
      </c>
      <c r="C9">
        <f t="shared" si="0"/>
        <v>15.41212121212121</v>
      </c>
    </row>
    <row r="10" spans="1:5" x14ac:dyDescent="0.25">
      <c r="A10">
        <v>9</v>
      </c>
      <c r="B10">
        <v>18</v>
      </c>
      <c r="C10">
        <f t="shared" si="0"/>
        <v>17.496969696969696</v>
      </c>
    </row>
    <row r="11" spans="1:5" x14ac:dyDescent="0.25">
      <c r="A11">
        <v>10</v>
      </c>
      <c r="B11">
        <v>20</v>
      </c>
      <c r="C11">
        <f t="shared" si="0"/>
        <v>19.581818181818178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zoomScale="85" zoomScaleNormal="85" workbookViewId="0">
      <selection activeCell="M11" sqref="M11"/>
    </sheetView>
  </sheetViews>
  <sheetFormatPr defaultRowHeight="15" x14ac:dyDescent="0.25"/>
  <cols>
    <col min="12" max="12" width="10.28515625" bestFit="1" customWidth="1"/>
    <col min="13" max="15" width="12.7109375" bestFit="1" customWidth="1"/>
    <col min="16" max="16" width="12" bestFit="1" customWidth="1"/>
    <col min="18" max="18" width="14.5703125" bestFit="1" customWidth="1"/>
    <col min="19" max="19" width="13.140625" bestFit="1" customWidth="1"/>
  </cols>
  <sheetData>
    <row r="1" spans="1:19" x14ac:dyDescent="0.25">
      <c r="A1" s="1" t="s">
        <v>22</v>
      </c>
      <c r="B1" s="1" t="s">
        <v>23</v>
      </c>
      <c r="C1" s="1" t="s">
        <v>24</v>
      </c>
      <c r="D1" s="1" t="s">
        <v>1</v>
      </c>
      <c r="F1" s="1" t="s">
        <v>13</v>
      </c>
      <c r="G1" s="1" t="s">
        <v>22</v>
      </c>
      <c r="H1" s="1" t="s">
        <v>23</v>
      </c>
      <c r="I1" s="1" t="s">
        <v>24</v>
      </c>
      <c r="J1" s="1" t="s">
        <v>1</v>
      </c>
      <c r="L1" t="s">
        <v>14</v>
      </c>
      <c r="M1">
        <f t="array" ref="M1:P4">MMULT(TRANSPOSE(F2:J21), F2:J21)</f>
        <v>20</v>
      </c>
      <c r="N1">
        <v>50.840000000000018</v>
      </c>
      <c r="O1">
        <v>435.64000000000004</v>
      </c>
      <c r="P1">
        <v>11.029999999999998</v>
      </c>
      <c r="R1" t="s">
        <v>18</v>
      </c>
      <c r="S1" t="s">
        <v>19</v>
      </c>
    </row>
    <row r="2" spans="1:19" x14ac:dyDescent="0.25">
      <c r="A2" s="1">
        <v>0.76</v>
      </c>
      <c r="B2" s="1">
        <v>7.01</v>
      </c>
      <c r="C2" s="1">
        <v>0.94</v>
      </c>
      <c r="D2" s="1">
        <v>33.520000000000003</v>
      </c>
      <c r="F2" s="2">
        <v>1</v>
      </c>
      <c r="G2" s="1">
        <v>0.76</v>
      </c>
      <c r="H2" s="1">
        <v>7.01</v>
      </c>
      <c r="I2" s="1">
        <v>0.94</v>
      </c>
      <c r="J2" s="1">
        <v>33.520000000000003</v>
      </c>
      <c r="M2">
        <v>50.840000000000018</v>
      </c>
      <c r="N2">
        <v>228.6694</v>
      </c>
      <c r="O2">
        <v>991.42410000000007</v>
      </c>
      <c r="P2">
        <v>26.494299999999999</v>
      </c>
      <c r="R2">
        <f xml:space="preserve"> $P$11 + $P$12 * G2 + $P$13 * H2 + $P$14 * I2</f>
        <v>35.128368193795353</v>
      </c>
      <c r="S2">
        <f xml:space="preserve"> POWER(J2 - R2, 2)</f>
        <v>2.5868482468125165</v>
      </c>
    </row>
    <row r="3" spans="1:19" x14ac:dyDescent="0.25">
      <c r="A3" s="1">
        <v>4.25</v>
      </c>
      <c r="B3" s="1">
        <v>14.45</v>
      </c>
      <c r="C3" s="1">
        <v>0.84</v>
      </c>
      <c r="D3" s="1">
        <v>42.89</v>
      </c>
      <c r="F3" s="2">
        <v>1</v>
      </c>
      <c r="G3" s="1">
        <v>4.25</v>
      </c>
      <c r="H3" s="1">
        <v>14.45</v>
      </c>
      <c r="I3" s="1">
        <v>0.84</v>
      </c>
      <c r="J3" s="1">
        <v>42.89</v>
      </c>
      <c r="M3">
        <v>435.64000000000004</v>
      </c>
      <c r="N3">
        <v>991.42410000000007</v>
      </c>
      <c r="O3">
        <v>15643.789200000001</v>
      </c>
      <c r="P3">
        <v>222.99350000000001</v>
      </c>
      <c r="R3">
        <f t="shared" ref="R3:R21" si="0" xml:space="preserve"> $P$11 + $P$12 * G3 + $P$13 * H3 + $P$14 * I3</f>
        <v>26.623780513896161</v>
      </c>
      <c r="S3">
        <f t="shared" ref="S3:S21" si="1" xml:space="preserve"> POWER(J3 - R3, 2)</f>
        <v>264.58989637010427</v>
      </c>
    </row>
    <row r="4" spans="1:19" x14ac:dyDescent="0.25">
      <c r="A4" s="1">
        <v>5.71</v>
      </c>
      <c r="B4" s="1">
        <v>42.28</v>
      </c>
      <c r="C4" s="1">
        <v>0.83</v>
      </c>
      <c r="D4" s="1">
        <v>12.04</v>
      </c>
      <c r="F4" s="2">
        <v>1</v>
      </c>
      <c r="G4" s="1">
        <v>5.71</v>
      </c>
      <c r="H4" s="1">
        <v>42.28</v>
      </c>
      <c r="I4" s="1">
        <v>0.83</v>
      </c>
      <c r="J4" s="1">
        <v>12.04</v>
      </c>
      <c r="M4">
        <v>11.029999999999998</v>
      </c>
      <c r="N4">
        <v>26.494299999999999</v>
      </c>
      <c r="O4">
        <v>222.99350000000001</v>
      </c>
      <c r="P4">
        <v>7.5643000000000002</v>
      </c>
      <c r="R4">
        <f t="shared" si="0"/>
        <v>19.383050772711986</v>
      </c>
      <c r="S4">
        <f t="shared" si="1"/>
        <v>53.920394650626108</v>
      </c>
    </row>
    <row r="5" spans="1:19" x14ac:dyDescent="0.25">
      <c r="A5" s="1">
        <v>3.58</v>
      </c>
      <c r="B5" s="1">
        <v>11.13</v>
      </c>
      <c r="C5" s="1">
        <v>0.24</v>
      </c>
      <c r="D5" s="1">
        <v>6.91</v>
      </c>
      <c r="F5" s="2">
        <v>1</v>
      </c>
      <c r="G5" s="1">
        <v>3.58</v>
      </c>
      <c r="H5" s="1">
        <v>11.13</v>
      </c>
      <c r="I5" s="1">
        <v>0.24</v>
      </c>
      <c r="J5" s="1">
        <v>6.91</v>
      </c>
      <c r="R5">
        <f t="shared" si="0"/>
        <v>18.424979688737992</v>
      </c>
      <c r="S5">
        <f t="shared" si="1"/>
        <v>132.59475723204849</v>
      </c>
    </row>
    <row r="6" spans="1:19" x14ac:dyDescent="0.25">
      <c r="A6" s="1">
        <v>0.45</v>
      </c>
      <c r="B6" s="1">
        <v>3</v>
      </c>
      <c r="C6" s="1">
        <v>0.48</v>
      </c>
      <c r="D6" s="1">
        <v>6.57</v>
      </c>
      <c r="F6" s="2">
        <v>1</v>
      </c>
      <c r="G6" s="1">
        <v>0.45</v>
      </c>
      <c r="H6" s="1">
        <v>3</v>
      </c>
      <c r="I6" s="1">
        <v>0.48</v>
      </c>
      <c r="J6" s="1">
        <v>6.57</v>
      </c>
      <c r="L6" t="s">
        <v>15</v>
      </c>
      <c r="M6">
        <f t="array" ref="M6:P9" xml:space="preserve"> MINVERSE(M1:P4)</f>
        <v>0.53744317176876155</v>
      </c>
      <c r="N6">
        <v>-3.9569552520799127E-2</v>
      </c>
      <c r="O6">
        <v>-5.6285940092465183E-3</v>
      </c>
      <c r="P6">
        <v>-0.47915745158927026</v>
      </c>
      <c r="R6">
        <f t="shared" si="0"/>
        <v>28.765037999149943</v>
      </c>
      <c r="S6">
        <f t="shared" si="1"/>
        <v>492.61971178370987</v>
      </c>
    </row>
    <row r="7" spans="1:19" x14ac:dyDescent="0.25">
      <c r="A7" s="1">
        <v>0.13</v>
      </c>
      <c r="B7" s="1">
        <v>63.46</v>
      </c>
      <c r="C7" s="1">
        <v>0.18</v>
      </c>
      <c r="D7" s="1">
        <v>2.0699999999999998</v>
      </c>
      <c r="F7" s="2">
        <v>1</v>
      </c>
      <c r="G7" s="1">
        <v>0.13</v>
      </c>
      <c r="H7" s="1">
        <v>63.46</v>
      </c>
      <c r="I7" s="1">
        <v>0.18</v>
      </c>
      <c r="J7" s="1">
        <v>2.0699999999999998</v>
      </c>
      <c r="M7">
        <v>-3.9569552520799148E-2</v>
      </c>
      <c r="N7">
        <v>1.0547374926949125E-2</v>
      </c>
      <c r="O7">
        <v>2.373361311408064E-4</v>
      </c>
      <c r="P7">
        <v>1.3759691474134927E-2</v>
      </c>
      <c r="R7">
        <f t="shared" si="0"/>
        <v>14.073769025806541</v>
      </c>
      <c r="S7">
        <f t="shared" si="1"/>
        <v>144.09047082491253</v>
      </c>
    </row>
    <row r="8" spans="1:19" x14ac:dyDescent="0.25">
      <c r="A8" s="1">
        <v>1</v>
      </c>
      <c r="B8" s="1">
        <v>48.25</v>
      </c>
      <c r="C8" s="1">
        <v>0.35</v>
      </c>
      <c r="D8" s="1">
        <v>4.18</v>
      </c>
      <c r="F8" s="2">
        <v>1</v>
      </c>
      <c r="G8" s="1">
        <v>1</v>
      </c>
      <c r="H8" s="1">
        <v>48.25</v>
      </c>
      <c r="I8" s="1">
        <v>0.35</v>
      </c>
      <c r="J8" s="1">
        <v>4.18</v>
      </c>
      <c r="M8">
        <v>-5.6285940092465157E-3</v>
      </c>
      <c r="N8">
        <v>2.3733613114080621E-4</v>
      </c>
      <c r="O8">
        <v>1.733085255858903E-4</v>
      </c>
      <c r="P8">
        <v>2.2670521479142762E-3</v>
      </c>
      <c r="R8">
        <f t="shared" si="0"/>
        <v>18.053081476286145</v>
      </c>
      <c r="S8">
        <f t="shared" si="1"/>
        <v>192.46238964767377</v>
      </c>
    </row>
    <row r="9" spans="1:19" x14ac:dyDescent="0.25">
      <c r="A9" s="1">
        <v>0.76</v>
      </c>
      <c r="B9" s="1">
        <v>24.8</v>
      </c>
      <c r="C9" s="1">
        <v>0.34</v>
      </c>
      <c r="D9" s="1">
        <v>58.45</v>
      </c>
      <c r="F9" s="2">
        <v>1</v>
      </c>
      <c r="G9" s="1">
        <v>0.76</v>
      </c>
      <c r="H9" s="1">
        <v>24.8</v>
      </c>
      <c r="I9" s="1">
        <v>0.34</v>
      </c>
      <c r="J9" s="1">
        <v>58.45</v>
      </c>
      <c r="M9">
        <v>-0.47915745158927031</v>
      </c>
      <c r="N9">
        <v>1.3759691474134913E-2</v>
      </c>
      <c r="O9">
        <v>2.2670521479142788E-3</v>
      </c>
      <c r="P9">
        <v>0.71586470711904004</v>
      </c>
      <c r="R9">
        <f t="shared" si="0"/>
        <v>22.263443002407584</v>
      </c>
      <c r="S9">
        <f t="shared" si="1"/>
        <v>1309.4669073400048</v>
      </c>
    </row>
    <row r="10" spans="1:19" x14ac:dyDescent="0.25">
      <c r="A10" s="1">
        <v>7.56</v>
      </c>
      <c r="B10" s="1">
        <v>13.85</v>
      </c>
      <c r="C10" s="1">
        <v>0.55000000000000004</v>
      </c>
      <c r="D10" s="1">
        <v>29.64</v>
      </c>
      <c r="F10" s="2">
        <v>1</v>
      </c>
      <c r="G10" s="1">
        <v>7.56</v>
      </c>
      <c r="H10" s="1">
        <v>13.85</v>
      </c>
      <c r="I10" s="1">
        <v>0.55000000000000004</v>
      </c>
      <c r="J10" s="1">
        <v>29.64</v>
      </c>
      <c r="R10">
        <f t="shared" si="0"/>
        <v>16.660205844107288</v>
      </c>
      <c r="S10">
        <f t="shared" si="1"/>
        <v>168.47505632934661</v>
      </c>
    </row>
    <row r="11" spans="1:19" x14ac:dyDescent="0.25">
      <c r="A11" s="1">
        <v>0.76</v>
      </c>
      <c r="B11" s="1">
        <v>50.46</v>
      </c>
      <c r="C11" s="1">
        <v>0.43</v>
      </c>
      <c r="D11" s="1">
        <v>48.87</v>
      </c>
      <c r="F11" s="2">
        <v>1</v>
      </c>
      <c r="G11" s="1">
        <v>0.76</v>
      </c>
      <c r="H11" s="1">
        <v>50.46</v>
      </c>
      <c r="I11" s="1">
        <v>0.43</v>
      </c>
      <c r="J11" s="1">
        <v>48.87</v>
      </c>
      <c r="L11" t="s">
        <v>16</v>
      </c>
      <c r="M11">
        <f t="array" ref="M11:M14" xml:space="preserve"> MMULT(TRANSPOSE(F2:I21), J2:J21)</f>
        <v>467.71999999999997</v>
      </c>
      <c r="O11" t="s">
        <v>17</v>
      </c>
      <c r="P11">
        <f t="array" ref="P11:P14" xml:space="preserve"> MMULT(M6:P9, M11:M14)</f>
        <v>22.126545009326577</v>
      </c>
      <c r="R11">
        <f t="shared" si="0"/>
        <v>19.373960597828784</v>
      </c>
      <c r="S11">
        <f t="shared" si="1"/>
        <v>870.01634041443674</v>
      </c>
    </row>
    <row r="12" spans="1:19" x14ac:dyDescent="0.25">
      <c r="A12" s="1">
        <v>0.42</v>
      </c>
      <c r="B12" s="1">
        <v>3.1</v>
      </c>
      <c r="C12" s="1">
        <v>0.94</v>
      </c>
      <c r="D12" s="1">
        <v>33.75</v>
      </c>
      <c r="F12" s="2">
        <v>1</v>
      </c>
      <c r="G12" s="1">
        <v>0.42</v>
      </c>
      <c r="H12" s="1">
        <v>3.1</v>
      </c>
      <c r="I12" s="1">
        <v>0.94</v>
      </c>
      <c r="J12" s="1">
        <v>33.75</v>
      </c>
      <c r="M12">
        <v>1023.8301000000001</v>
      </c>
      <c r="P12">
        <v>-1.6043410177634763</v>
      </c>
      <c r="R12">
        <f t="shared" si="0"/>
        <v>36.339010132621425</v>
      </c>
      <c r="S12">
        <f t="shared" si="1"/>
        <v>6.7029734668164087</v>
      </c>
    </row>
    <row r="13" spans="1:19" x14ac:dyDescent="0.25">
      <c r="A13" s="1">
        <v>2.93</v>
      </c>
      <c r="B13" s="1">
        <v>11.21</v>
      </c>
      <c r="C13" s="1">
        <v>0.53</v>
      </c>
      <c r="D13" s="1">
        <v>0.04</v>
      </c>
      <c r="F13" s="2">
        <v>1</v>
      </c>
      <c r="G13" s="1">
        <v>2.93</v>
      </c>
      <c r="H13" s="1">
        <v>11.21</v>
      </c>
      <c r="I13" s="1">
        <v>0.53</v>
      </c>
      <c r="J13" s="1">
        <v>0.04</v>
      </c>
      <c r="M13">
        <v>9043.8549000000003</v>
      </c>
      <c r="P13">
        <v>-0.17011917974078983</v>
      </c>
      <c r="R13">
        <f xml:space="preserve"> $P$11 + $P$12 * G13 + $P$13 * H13 + $P$14 * I13</f>
        <v>24.20946922474123</v>
      </c>
      <c r="S13">
        <f xml:space="preserve"> POWER(J13 - R13, 2)</f>
        <v>584.16324260571355</v>
      </c>
    </row>
    <row r="14" spans="1:19" x14ac:dyDescent="0.25">
      <c r="A14" s="1">
        <v>5.64</v>
      </c>
      <c r="B14" s="1">
        <v>18.11</v>
      </c>
      <c r="C14" s="1">
        <v>0.09</v>
      </c>
      <c r="D14" s="1">
        <v>16.75</v>
      </c>
      <c r="F14" s="2">
        <v>1</v>
      </c>
      <c r="G14" s="1">
        <v>5.64</v>
      </c>
      <c r="H14" s="1">
        <v>18.11</v>
      </c>
      <c r="I14" s="1">
        <v>0.09</v>
      </c>
      <c r="J14" s="1">
        <v>16.75</v>
      </c>
      <c r="M14">
        <v>287.65010000000001</v>
      </c>
      <c r="P14">
        <v>16.397508306331872</v>
      </c>
      <c r="R14">
        <f t="shared" si="0"/>
        <v>11.472979071604737</v>
      </c>
      <c r="S14">
        <f t="shared" si="1"/>
        <v>27.846949878721606</v>
      </c>
    </row>
    <row r="15" spans="1:19" x14ac:dyDescent="0.25">
      <c r="A15" s="1">
        <v>3.93</v>
      </c>
      <c r="B15" s="1">
        <v>21.56</v>
      </c>
      <c r="C15" s="1">
        <v>0.43</v>
      </c>
      <c r="D15" s="1">
        <v>4.63</v>
      </c>
      <c r="F15" s="2">
        <v>1</v>
      </c>
      <c r="G15" s="1">
        <v>3.93</v>
      </c>
      <c r="H15" s="1">
        <v>21.56</v>
      </c>
      <c r="I15" s="1">
        <v>0.43</v>
      </c>
      <c r="J15" s="1">
        <v>4.63</v>
      </c>
      <c r="R15">
        <f t="shared" si="0"/>
        <v>19.204643866027389</v>
      </c>
      <c r="S15">
        <f t="shared" si="1"/>
        <v>212.42024382152982</v>
      </c>
    </row>
    <row r="16" spans="1:19" x14ac:dyDescent="0.25">
      <c r="A16" s="1">
        <v>0.5</v>
      </c>
      <c r="B16" s="1">
        <v>11.2</v>
      </c>
      <c r="C16" s="1">
        <v>0.79</v>
      </c>
      <c r="D16" s="1">
        <v>61.69</v>
      </c>
      <c r="F16" s="2">
        <v>1</v>
      </c>
      <c r="G16" s="1">
        <v>0.5</v>
      </c>
      <c r="H16" s="1">
        <v>11.2</v>
      </c>
      <c r="I16" s="1">
        <v>0.79</v>
      </c>
      <c r="J16" s="1">
        <v>61.69</v>
      </c>
      <c r="R16">
        <f t="shared" si="0"/>
        <v>32.373071249350176</v>
      </c>
      <c r="S16">
        <f t="shared" si="1"/>
        <v>859.48231137067819</v>
      </c>
    </row>
    <row r="17" spans="1:19" x14ac:dyDescent="0.25">
      <c r="A17" s="1">
        <v>0.2</v>
      </c>
      <c r="B17" s="1">
        <v>7.62</v>
      </c>
      <c r="C17" s="1">
        <v>0.33</v>
      </c>
      <c r="D17" s="1">
        <v>24.55</v>
      </c>
      <c r="F17" s="2">
        <v>1</v>
      </c>
      <c r="G17" s="1">
        <v>0.2</v>
      </c>
      <c r="H17" s="1">
        <v>7.62</v>
      </c>
      <c r="I17" s="1">
        <v>0.33</v>
      </c>
      <c r="J17" s="1">
        <v>24.55</v>
      </c>
      <c r="R17">
        <f t="shared" si="0"/>
        <v>25.920546397238581</v>
      </c>
      <c r="S17">
        <f t="shared" si="1"/>
        <v>1.8783974269836536</v>
      </c>
    </row>
    <row r="18" spans="1:19" x14ac:dyDescent="0.25">
      <c r="A18" s="1">
        <v>1.0900000000000001</v>
      </c>
      <c r="B18" s="1">
        <v>22.54</v>
      </c>
      <c r="C18" s="1">
        <v>0.94</v>
      </c>
      <c r="D18" s="1">
        <v>32.9</v>
      </c>
      <c r="F18" s="2">
        <v>1</v>
      </c>
      <c r="G18" s="1">
        <v>1.0900000000000001</v>
      </c>
      <c r="H18" s="1">
        <v>22.54</v>
      </c>
      <c r="I18" s="1">
        <v>0.94</v>
      </c>
      <c r="J18" s="1">
        <v>32.9</v>
      </c>
      <c r="R18">
        <f t="shared" si="0"/>
        <v>31.956984796558942</v>
      </c>
      <c r="S18">
        <f t="shared" si="1"/>
        <v>0.88927767392097778</v>
      </c>
    </row>
    <row r="19" spans="1:19" x14ac:dyDescent="0.25">
      <c r="A19" s="1">
        <v>1.95</v>
      </c>
      <c r="B19" s="1">
        <v>44.38</v>
      </c>
      <c r="C19" s="1">
        <v>0.9</v>
      </c>
      <c r="D19" s="1">
        <v>9.23</v>
      </c>
      <c r="F19" s="2">
        <v>1</v>
      </c>
      <c r="G19" s="1">
        <v>1.95</v>
      </c>
      <c r="H19" s="1">
        <v>44.38</v>
      </c>
      <c r="I19" s="1">
        <v>0.9</v>
      </c>
      <c r="J19" s="1">
        <v>9.23</v>
      </c>
      <c r="R19">
        <f t="shared" si="0"/>
        <v>26.205948303490231</v>
      </c>
      <c r="S19">
        <f t="shared" si="1"/>
        <v>288.18282080277282</v>
      </c>
    </row>
    <row r="20" spans="1:19" x14ac:dyDescent="0.25">
      <c r="A20" s="1">
        <v>3.81</v>
      </c>
      <c r="B20" s="1">
        <v>5.5</v>
      </c>
      <c r="C20" s="1">
        <v>0.61</v>
      </c>
      <c r="D20" s="1">
        <v>11.4</v>
      </c>
      <c r="F20" s="2">
        <v>1</v>
      </c>
      <c r="G20" s="1">
        <v>3.81</v>
      </c>
      <c r="H20" s="1">
        <v>5.5</v>
      </c>
      <c r="I20" s="1">
        <v>0.61</v>
      </c>
      <c r="J20" s="1">
        <v>11.4</v>
      </c>
      <c r="R20">
        <f t="shared" si="0"/>
        <v>25.080830309935827</v>
      </c>
      <c r="S20">
        <f t="shared" si="1"/>
        <v>187.1651179692588</v>
      </c>
    </row>
    <row r="21" spans="1:19" x14ac:dyDescent="0.25">
      <c r="A21" s="1">
        <v>5.41</v>
      </c>
      <c r="B21" s="1">
        <v>11.73</v>
      </c>
      <c r="C21" s="1">
        <v>0.28999999999999998</v>
      </c>
      <c r="D21" s="1">
        <v>27.64</v>
      </c>
      <c r="F21" s="2">
        <v>1</v>
      </c>
      <c r="G21" s="1">
        <v>5.41</v>
      </c>
      <c r="H21" s="1">
        <v>11.73</v>
      </c>
      <c r="I21" s="1">
        <v>0.28999999999999998</v>
      </c>
      <c r="J21" s="1">
        <v>27.64</v>
      </c>
      <c r="R21">
        <f t="shared" si="0"/>
        <v>16.206839533702947</v>
      </c>
      <c r="S21">
        <f t="shared" si="1"/>
        <v>130.71715824809786</v>
      </c>
    </row>
    <row r="22" spans="1:19" x14ac:dyDescent="0.25">
      <c r="R22" t="s">
        <v>20</v>
      </c>
      <c r="S22">
        <f xml:space="preserve"> AVERAGE(S2:S21)</f>
        <v>296.51356330520844</v>
      </c>
    </row>
    <row r="23" spans="1:19" x14ac:dyDescent="0.25">
      <c r="R23" t="s">
        <v>21</v>
      </c>
      <c r="S23">
        <f xml:space="preserve"> SQRT(S22)</f>
        <v>17.219569196272257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Bonus</vt:lpstr>
      <vt:lpstr>VD3</vt:lpstr>
      <vt:lpstr>VD2</vt:lpstr>
      <vt:lpstr>VD1</vt:lpstr>
      <vt:lpstr>BT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2025-10-22T00:58:38Z</dcterms:created>
  <dcterms:modified xsi:type="dcterms:W3CDTF">2025-10-22T03:59:38Z</dcterms:modified>
</cp:coreProperties>
</file>