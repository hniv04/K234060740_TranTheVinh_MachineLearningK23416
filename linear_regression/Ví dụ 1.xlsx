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ÀI LIỆU HỌC TẬP\HỌC MÁY (MACHINE LEARNING) TRONG PHÂN TÍCH KINH DOANH (Thầy Trần Duy Thanh)\"/>
    </mc:Choice>
  </mc:AlternateContent>
  <bookViews>
    <workbookView xWindow="0" yWindow="0" windowWidth="20490" windowHeight="7155" activeTab="1"/>
  </bookViews>
  <sheets>
    <sheet name="VD1" sheetId="1" r:id="rId1"/>
    <sheet name="VD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2" l="1"/>
  <c r="E6" i="2"/>
  <c r="E5" i="2"/>
  <c r="E4" i="2"/>
  <c r="E3" i="2"/>
  <c r="E2" i="2"/>
  <c r="E1" i="2"/>
  <c r="C3" i="1"/>
  <c r="C4" i="1"/>
  <c r="C5" i="1"/>
  <c r="C6" i="1"/>
  <c r="C7" i="1"/>
  <c r="C8" i="1"/>
  <c r="C9" i="1"/>
  <c r="C10" i="1"/>
  <c r="C11" i="1"/>
  <c r="C2" i="1"/>
  <c r="E2" i="1" l="1"/>
  <c r="E1" i="1"/>
  <c r="E5" i="1"/>
  <c r="E4" i="1"/>
  <c r="E3" i="1"/>
  <c r="C10" i="2" l="1"/>
  <c r="C14" i="2"/>
  <c r="C13" i="2"/>
  <c r="C12" i="2"/>
  <c r="C6" i="2"/>
  <c r="C4" i="2"/>
  <c r="C7" i="2"/>
  <c r="C5" i="2"/>
  <c r="C9" i="2"/>
  <c r="C2" i="2"/>
  <c r="C11" i="2"/>
  <c r="C8" i="2"/>
  <c r="C3" i="2"/>
  <c r="E6" i="1"/>
  <c r="E7" i="1" s="1"/>
</calcChain>
</file>

<file path=xl/sharedStrings.xml><?xml version="1.0" encoding="utf-8"?>
<sst xmlns="http://schemas.openxmlformats.org/spreadsheetml/2006/main" count="20" uniqueCount="10">
  <si>
    <t>x</t>
  </si>
  <si>
    <t>y</t>
  </si>
  <si>
    <t>Độ lệch chuẩn x</t>
  </si>
  <si>
    <t>Độ lệch chuẩn y</t>
  </si>
  <si>
    <t>Trung bình x</t>
  </si>
  <si>
    <t>Trung bình y</t>
  </si>
  <si>
    <t>Tương quan x và y</t>
  </si>
  <si>
    <t>B1 =</t>
  </si>
  <si>
    <t xml:space="preserve">B0 = </t>
  </si>
  <si>
    <t>y-predicted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</si>
</sst>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 Linear Regression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'VD1'!$B$1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'VD1'!$B$2:$B$11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18</c:v>
                </c:pt>
                <c:pt idx="9">
                  <c:v>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'VD1'!$C$1</c:f>
              <c:strCache>
                <c:ptCount val="1"/>
                <c:pt idx="0">
                  <c:v>y-predicted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'VD1'!$C$2:$C$11</c:f>
              <c:numCache>
                <c:formatCode>General</c:formatCode>
                <c:ptCount val="10"/>
                <c:pt idx="0">
                  <c:v>0.81818181818181879</c:v>
                </c:pt>
                <c:pt idx="1">
                  <c:v>2.9030303030303033</c:v>
                </c:pt>
                <c:pt idx="2">
                  <c:v>4.9878787878787882</c:v>
                </c:pt>
                <c:pt idx="3">
                  <c:v>7.0727272727272723</c:v>
                </c:pt>
                <c:pt idx="4">
                  <c:v>9.1575757575757564</c:v>
                </c:pt>
                <c:pt idx="5">
                  <c:v>11.242424242424242</c:v>
                </c:pt>
                <c:pt idx="6">
                  <c:v>13.327272727272726</c:v>
                </c:pt>
                <c:pt idx="7">
                  <c:v>15.41212121212121</c:v>
                </c:pt>
                <c:pt idx="8">
                  <c:v>17.496969696969696</c:v>
                </c:pt>
                <c:pt idx="9">
                  <c:v>19.581818181818178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78873104"/>
        <c:axId val="-1285814992"/>
      </c:lineChart>
      <c:catAx>
        <c:axId val="-1178873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85814992"/>
        <c:crosses val="autoZero"/>
        <c:auto val="1"/>
        <c:lblAlgn val="ctr"/>
        <c:lblOffset val="100"/>
        <c:noMultiLvlLbl val="0"/>
      </c:catAx>
      <c:valAx>
        <c:axId val="-128581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7887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 Linear Regression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'VD2'!$B$1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'VD2'!$B$2:$B$14</c:f>
              <c:numCache>
                <c:formatCode>General</c:formatCode>
                <c:ptCount val="13"/>
                <c:pt idx="0">
                  <c:v>1.49</c:v>
                </c:pt>
                <c:pt idx="1">
                  <c:v>1.5</c:v>
                </c:pt>
                <c:pt idx="2">
                  <c:v>1.51</c:v>
                </c:pt>
                <c:pt idx="3">
                  <c:v>1.54</c:v>
                </c:pt>
                <c:pt idx="4">
                  <c:v>1.58</c:v>
                </c:pt>
                <c:pt idx="5">
                  <c:v>1.59</c:v>
                </c:pt>
                <c:pt idx="6">
                  <c:v>1.6</c:v>
                </c:pt>
                <c:pt idx="7">
                  <c:v>1.62</c:v>
                </c:pt>
                <c:pt idx="8">
                  <c:v>1.63</c:v>
                </c:pt>
                <c:pt idx="9">
                  <c:v>1.64</c:v>
                </c:pt>
                <c:pt idx="10">
                  <c:v>1.66</c:v>
                </c:pt>
                <c:pt idx="11">
                  <c:v>1.67</c:v>
                </c:pt>
                <c:pt idx="12">
                  <c:v>1.68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'VD2'!$C$1</c:f>
              <c:strCache>
                <c:ptCount val="1"/>
                <c:pt idx="0">
                  <c:v>y-predicted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'VD2'!$C$2:$C$14</c:f>
              <c:numCache>
                <c:formatCode>General</c:formatCode>
                <c:ptCount val="13"/>
                <c:pt idx="0">
                  <c:v>1.4846771919932338</c:v>
                </c:pt>
                <c:pt idx="1">
                  <c:v>1.5014533408514237</c:v>
                </c:pt>
                <c:pt idx="2">
                  <c:v>1.5182294897096138</c:v>
                </c:pt>
                <c:pt idx="3">
                  <c:v>1.5461897378065972</c:v>
                </c:pt>
                <c:pt idx="4">
                  <c:v>1.5741499859035804</c:v>
                </c:pt>
                <c:pt idx="5">
                  <c:v>1.5853340851423738</c:v>
                </c:pt>
                <c:pt idx="6">
                  <c:v>1.602110234000564</c:v>
                </c:pt>
                <c:pt idx="7">
                  <c:v>1.6132943332393572</c:v>
                </c:pt>
                <c:pt idx="8">
                  <c:v>1.6300704820975471</c:v>
                </c:pt>
                <c:pt idx="9">
                  <c:v>1.6412545813363404</c:v>
                </c:pt>
                <c:pt idx="10">
                  <c:v>1.6580307301945305</c:v>
                </c:pt>
                <c:pt idx="11">
                  <c:v>1.669214829433324</c:v>
                </c:pt>
                <c:pt idx="12">
                  <c:v>1.6859909782915139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25254016"/>
        <c:axId val="-1125244768"/>
      </c:lineChart>
      <c:catAx>
        <c:axId val="-1125254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25244768"/>
        <c:crosses val="autoZero"/>
        <c:auto val="1"/>
        <c:lblAlgn val="ctr"/>
        <c:lblOffset val="100"/>
        <c:noMultiLvlLbl val="0"/>
      </c:catAx>
      <c:valAx>
        <c:axId val="-112524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2525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13</xdr:col>
      <xdr:colOff>304800</xdr:colOff>
      <xdr:row>14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13</xdr:col>
      <xdr:colOff>304800</xdr:colOff>
      <xdr:row>14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5"/>
  <cols>
    <col min="3" max="3" width="11.28515625" bestFit="1" customWidth="1"/>
    <col min="4" max="4" width="17" bestFit="1" customWidth="1"/>
  </cols>
  <sheetData>
    <row r="1" spans="1:5" x14ac:dyDescent="0.25">
      <c r="A1" t="s">
        <v>0</v>
      </c>
      <c r="B1" t="s">
        <v>1</v>
      </c>
      <c r="C1" t="s">
        <v>9</v>
      </c>
      <c r="D1" t="s">
        <v>2</v>
      </c>
      <c r="E1">
        <f xml:space="preserve"> STDEVA(A2:A11)</f>
        <v>3.0276503540974917</v>
      </c>
    </row>
    <row r="2" spans="1:5" x14ac:dyDescent="0.25">
      <c r="A2">
        <v>1</v>
      </c>
      <c r="B2">
        <v>2</v>
      </c>
      <c r="C2">
        <f xml:space="preserve"> $E$7 + $E$6 * A2</f>
        <v>0.81818181818181879</v>
      </c>
      <c r="D2" t="s">
        <v>3</v>
      </c>
      <c r="E2">
        <f xml:space="preserve"> STDEVA(B2:B11)</f>
        <v>6.3909658459769938</v>
      </c>
    </row>
    <row r="3" spans="1:5" x14ac:dyDescent="0.25">
      <c r="A3">
        <v>2</v>
      </c>
      <c r="B3">
        <v>4</v>
      </c>
      <c r="C3">
        <f t="shared" ref="C3:C11" si="0" xml:space="preserve"> $E$7 + $E$6 * A3</f>
        <v>2.9030303030303033</v>
      </c>
      <c r="D3" t="s">
        <v>4</v>
      </c>
      <c r="E3">
        <f xml:space="preserve"> AVERAGE(A2:A11)</f>
        <v>5.5</v>
      </c>
    </row>
    <row r="4" spans="1:5" x14ac:dyDescent="0.25">
      <c r="A4">
        <v>3</v>
      </c>
      <c r="B4">
        <v>3</v>
      </c>
      <c r="C4">
        <f t="shared" si="0"/>
        <v>4.9878787878787882</v>
      </c>
      <c r="D4" t="s">
        <v>5</v>
      </c>
      <c r="E4">
        <f xml:space="preserve"> AVERAGE(B2:B11)</f>
        <v>10.199999999999999</v>
      </c>
    </row>
    <row r="5" spans="1:5" x14ac:dyDescent="0.25">
      <c r="A5">
        <v>4</v>
      </c>
      <c r="B5">
        <v>6</v>
      </c>
      <c r="C5">
        <f t="shared" si="0"/>
        <v>7.0727272727272723</v>
      </c>
      <c r="D5" t="s">
        <v>6</v>
      </c>
      <c r="E5">
        <f xml:space="preserve"> CORREL(A2:A11, B2:B11)</f>
        <v>0.98767422726324727</v>
      </c>
    </row>
    <row r="6" spans="1:5" x14ac:dyDescent="0.25">
      <c r="A6">
        <v>5</v>
      </c>
      <c r="B6">
        <v>9</v>
      </c>
      <c r="C6">
        <f t="shared" si="0"/>
        <v>9.1575757575757564</v>
      </c>
      <c r="D6" t="s">
        <v>7</v>
      </c>
      <c r="E6">
        <f xml:space="preserve"> E5 * (E2 / E1)</f>
        <v>2.0848484848484845</v>
      </c>
    </row>
    <row r="7" spans="1:5" x14ac:dyDescent="0.25">
      <c r="A7">
        <v>6</v>
      </c>
      <c r="B7">
        <v>12</v>
      </c>
      <c r="C7">
        <f t="shared" si="0"/>
        <v>11.242424242424242</v>
      </c>
      <c r="D7" t="s">
        <v>8</v>
      </c>
      <c r="E7">
        <f xml:space="preserve"> E4 - E6* E3</f>
        <v>-1.2666666666666657</v>
      </c>
    </row>
    <row r="8" spans="1:5" x14ac:dyDescent="0.25">
      <c r="A8">
        <v>7</v>
      </c>
      <c r="B8">
        <v>13</v>
      </c>
      <c r="C8">
        <f t="shared" si="0"/>
        <v>13.327272727272726</v>
      </c>
    </row>
    <row r="9" spans="1:5" x14ac:dyDescent="0.25">
      <c r="A9">
        <v>8</v>
      </c>
      <c r="B9">
        <v>15</v>
      </c>
      <c r="C9">
        <f t="shared" si="0"/>
        <v>15.41212121212121</v>
      </c>
    </row>
    <row r="10" spans="1:5" x14ac:dyDescent="0.25">
      <c r="A10">
        <v>9</v>
      </c>
      <c r="B10">
        <v>18</v>
      </c>
      <c r="C10">
        <f t="shared" si="0"/>
        <v>17.496969696969696</v>
      </c>
    </row>
    <row r="11" spans="1:5" x14ac:dyDescent="0.25">
      <c r="A11">
        <v>10</v>
      </c>
      <c r="B11">
        <v>20</v>
      </c>
      <c r="C11">
        <f t="shared" si="0"/>
        <v>19.581818181818178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topLeftCell="B1" workbookViewId="0">
      <selection activeCell="E11" sqref="E11"/>
    </sheetView>
  </sheetViews>
  <sheetFormatPr defaultRowHeight="15" x14ac:dyDescent="0.25"/>
  <cols>
    <col min="3" max="3" width="11.28515625" bestFit="1" customWidth="1"/>
    <col min="4" max="4" width="17" bestFit="1" customWidth="1"/>
  </cols>
  <sheetData>
    <row r="1" spans="1:5" x14ac:dyDescent="0.25">
      <c r="A1" t="s">
        <v>0</v>
      </c>
      <c r="B1" t="s">
        <v>1</v>
      </c>
      <c r="C1" t="s">
        <v>9</v>
      </c>
      <c r="D1" t="s">
        <v>2</v>
      </c>
      <c r="E1">
        <f xml:space="preserve"> STDEVA(A2:A14)</f>
        <v>5.840014488917749</v>
      </c>
    </row>
    <row r="2" spans="1:5" x14ac:dyDescent="0.25">
      <c r="A2">
        <v>73.5</v>
      </c>
      <c r="B2">
        <v>1.49</v>
      </c>
      <c r="C2">
        <f xml:space="preserve"> $E$7 + $E$6 * A2</f>
        <v>1.4846771919932338</v>
      </c>
      <c r="D2" t="s">
        <v>3</v>
      </c>
      <c r="E2">
        <f xml:space="preserve"> STDEVA(B2:B14)</f>
        <v>6.5496134158769898E-2</v>
      </c>
    </row>
    <row r="3" spans="1:5" x14ac:dyDescent="0.25">
      <c r="A3">
        <v>75</v>
      </c>
      <c r="B3">
        <v>1.5</v>
      </c>
      <c r="C3">
        <f t="shared" ref="C3:C14" si="0" xml:space="preserve"> $E$7 + $E$6 * A3</f>
        <v>1.5014533408514237</v>
      </c>
      <c r="D3" t="s">
        <v>4</v>
      </c>
      <c r="E3">
        <f xml:space="preserve"> AVERAGE(A2:A14)</f>
        <v>83.192307692307693</v>
      </c>
    </row>
    <row r="4" spans="1:5" x14ac:dyDescent="0.25">
      <c r="A4">
        <v>76.5</v>
      </c>
      <c r="B4">
        <v>1.51</v>
      </c>
      <c r="C4">
        <f t="shared" si="0"/>
        <v>1.5182294897096138</v>
      </c>
      <c r="D4" t="s">
        <v>5</v>
      </c>
      <c r="E4">
        <f xml:space="preserve"> AVERAGE(B2:B14)</f>
        <v>1.5930769230769231</v>
      </c>
    </row>
    <row r="5" spans="1:5" x14ac:dyDescent="0.25">
      <c r="A5">
        <v>79</v>
      </c>
      <c r="B5">
        <v>1.54</v>
      </c>
      <c r="C5">
        <f t="shared" si="0"/>
        <v>1.5461897378065972</v>
      </c>
      <c r="D5" t="s">
        <v>6</v>
      </c>
      <c r="E5">
        <f xml:space="preserve"> CORREL(A2:A14, B2:B14)</f>
        <v>0.99723903462325769</v>
      </c>
    </row>
    <row r="6" spans="1:5" x14ac:dyDescent="0.25">
      <c r="A6">
        <v>81.5</v>
      </c>
      <c r="B6">
        <v>1.58</v>
      </c>
      <c r="C6">
        <f t="shared" si="0"/>
        <v>1.5741499859035804</v>
      </c>
      <c r="D6" t="s">
        <v>7</v>
      </c>
      <c r="E6">
        <f xml:space="preserve"> E5 * (E2 / E1)</f>
        <v>1.1184099238793339E-2</v>
      </c>
    </row>
    <row r="7" spans="1:5" x14ac:dyDescent="0.25">
      <c r="A7">
        <v>82.5</v>
      </c>
      <c r="B7">
        <v>1.59</v>
      </c>
      <c r="C7">
        <f t="shared" si="0"/>
        <v>1.5853340851423738</v>
      </c>
      <c r="D7" t="s">
        <v>8</v>
      </c>
      <c r="E7">
        <f xml:space="preserve"> E4 - E6* E3</f>
        <v>0.66264589794192341</v>
      </c>
    </row>
    <row r="8" spans="1:5" x14ac:dyDescent="0.25">
      <c r="A8">
        <v>84</v>
      </c>
      <c r="B8">
        <v>1.6</v>
      </c>
      <c r="C8">
        <f t="shared" si="0"/>
        <v>1.602110234000564</v>
      </c>
    </row>
    <row r="9" spans="1:5" x14ac:dyDescent="0.25">
      <c r="A9">
        <v>85</v>
      </c>
      <c r="B9">
        <v>1.62</v>
      </c>
      <c r="C9">
        <f t="shared" si="0"/>
        <v>1.6132943332393572</v>
      </c>
    </row>
    <row r="10" spans="1:5" x14ac:dyDescent="0.25">
      <c r="A10">
        <v>86.5</v>
      </c>
      <c r="B10">
        <v>1.63</v>
      </c>
      <c r="C10">
        <f t="shared" si="0"/>
        <v>1.6300704820975471</v>
      </c>
    </row>
    <row r="11" spans="1:5" x14ac:dyDescent="0.25">
      <c r="A11">
        <v>87.5</v>
      </c>
      <c r="B11">
        <v>1.64</v>
      </c>
      <c r="C11">
        <f t="shared" si="0"/>
        <v>1.6412545813363404</v>
      </c>
    </row>
    <row r="12" spans="1:5" x14ac:dyDescent="0.25">
      <c r="A12">
        <v>89</v>
      </c>
      <c r="B12">
        <v>1.66</v>
      </c>
      <c r="C12">
        <f t="shared" si="0"/>
        <v>1.6580307301945305</v>
      </c>
    </row>
    <row r="13" spans="1:5" x14ac:dyDescent="0.25">
      <c r="A13">
        <v>90</v>
      </c>
      <c r="B13">
        <v>1.67</v>
      </c>
      <c r="C13">
        <f t="shared" si="0"/>
        <v>1.669214829433324</v>
      </c>
    </row>
    <row r="14" spans="1:5" x14ac:dyDescent="0.25">
      <c r="A14">
        <v>91.5</v>
      </c>
      <c r="B14">
        <v>1.68</v>
      </c>
      <c r="C14">
        <f t="shared" si="0"/>
        <v>1.6859909782915139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VD1</vt:lpstr>
      <vt:lpstr>VD2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2025-10-22T00:58:38Z</dcterms:created>
  <dcterms:modified xsi:type="dcterms:W3CDTF">2025-10-22T02:17:41Z</dcterms:modified>
</cp:coreProperties>
</file>